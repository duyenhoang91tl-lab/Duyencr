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 thang" sheetId="1" state="visible" r:id="rId1"/>
    <sheet xmlns:r="http://schemas.openxmlformats.org/officeDocument/2006/relationships" name="Quy dinh" sheetId="2" state="visible" r:id="rId2"/>
    <sheet xmlns:r="http://schemas.openxmlformats.org/officeDocument/2006/relationships" name="Danh sach sale" sheetId="3" state="visible" r:id="rId3"/>
    <sheet xmlns:r="http://schemas.openxmlformats.org/officeDocument/2006/relationships" name="Nhat ky phat" sheetId="4" state="visible" r:id="rId4"/>
    <sheet xmlns:r="http://schemas.openxmlformats.org/officeDocument/2006/relationships" name="Thuong ngay" sheetId="5" state="visible" r:id="rId5"/>
    <sheet xmlns:r="http://schemas.openxmlformats.org/officeDocument/2006/relationships" name="Thuong tuan-tha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;[Red]-#,##0;-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666666"/>
      <sz val="10"/>
    </font>
    <font>
      <name val="Arial"/>
      <b val="1"/>
      <sz val="11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7F7F7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1F3A5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medium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9" fillId="0" borderId="0" pivotButton="0" quotePrefix="0" xfId="0"/>
    <xf numFmtId="49" fontId="5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1" fontId="4" fillId="0" borderId="1" pivotButton="0" quotePrefix="0" xfId="0"/>
    <xf numFmtId="165" fontId="9" fillId="0" borderId="1" pivotButton="0" quotePrefix="0" xfId="0"/>
    <xf numFmtId="165" fontId="9" fillId="0" borderId="2" pivotButton="0" quotePrefix="0" xfId="0"/>
    <xf numFmtId="1" fontId="9" fillId="0" borderId="2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2" borderId="1" pivotButton="0" quotePrefix="0" xfId="0"/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7" fillId="2" borderId="1" pivotButton="0" quotePrefix="0" xfId="0"/>
    <xf numFmtId="164" fontId="8" fillId="2" borderId="1" pivotButton="0" quotePrefix="0" xfId="0"/>
    <xf numFmtId="0" fontId="8" fillId="2" borderId="1" pivotButton="0" quotePrefix="0" xfId="0"/>
    <xf numFmtId="164" fontId="7" fillId="2" borderId="1" pivotButton="0" quotePrefix="0" xfId="0"/>
    <xf numFmtId="166" fontId="4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>
      <c r="A1" s="1" t="inlineStr">
        <is>
          <t>TỔNG HỢP THƯỞNG PHẠT THÁNG — ĐỘI SALE ONLINE + VĂN PHÒNG</t>
        </is>
      </c>
    </row>
    <row r="2">
      <c r="A2" s="2" t="inlineStr">
        <is>
          <t>Chọn tháng ở ô B4 (dạng yyyy-mm). Bảng tự cộng từ 3 sheet: Thuong ngay, Thuong tuan-thang, Nhat ky phat. Tên sale lấy từ "Danh sach sale".</t>
        </is>
      </c>
    </row>
    <row r="4">
      <c r="A4" s="3" t="inlineStr">
        <is>
          <t>Tháng cần tính (yyyy-mm):</t>
        </is>
      </c>
      <c r="B4" s="4" t="inlineStr">
        <is>
          <t>2026-10</t>
        </is>
      </c>
    </row>
    <row r="6" ht="30" customHeight="1">
      <c r="A6" s="5" t="inlineStr">
        <is>
          <t>Sale</t>
        </is>
      </c>
      <c r="B6" s="5" t="inlineStr">
        <is>
          <t>Thưởng ngày (đ)</t>
        </is>
      </c>
      <c r="C6" s="5" t="inlineStr">
        <is>
          <t>Thưởng tuần/tháng (đ)</t>
        </is>
      </c>
      <c r="D6" s="5" t="inlineStr">
        <is>
          <t>Tổng thưởng (đ)</t>
        </is>
      </c>
      <c r="E6" s="5" t="inlineStr">
        <is>
          <t>Phạt (đ)</t>
        </is>
      </c>
      <c r="F6" s="5" t="inlineStr">
        <is>
          <t>Số lần phạt</t>
        </is>
      </c>
      <c r="G6" s="5" t="inlineStr">
        <is>
          <t>THỰC NHẬN (đ)</t>
        </is>
      </c>
    </row>
    <row r="7">
      <c r="A7" s="6">
        <f>IF('Danh sach sale'!A5="","",'Danh sach sale'!A5)</f>
        <v/>
      </c>
      <c r="B7" s="7">
        <f>IF($A7="","",SUMIFS('Thuong ngay'!$E$5:$E$404,'Thuong ngay'!$B$5:$B$404,$A7,'Thuong ngay'!$G$5:$G$404,$B$4))</f>
        <v/>
      </c>
      <c r="C7" s="7">
        <f>IF($A7="","",SUMIFS('Thuong tuan-thang'!$K$5:$K$304,'Thuong tuan-thang'!$D$5:$D$304,$A7,'Thuong tuan-thang'!$C$5:$C$304,$B$4))</f>
        <v/>
      </c>
      <c r="D7" s="7">
        <f>IF($A7="","",B7+C7)</f>
        <v/>
      </c>
      <c r="E7" s="7">
        <f>IF($A7="","",SUMIFS('Nhat ky phat'!$E$5:$E$504,'Nhat ky phat'!$B$5:$B$504,$A7,'Nhat ky phat'!$H$5:$H$504,$B$4))</f>
        <v/>
      </c>
      <c r="F7" s="8">
        <f>IF($A7="","",COUNTIFS('Nhat ky phat'!$B$5:$B$504,$A7,'Nhat ky phat'!$H$5:$H$504,$B$4))</f>
        <v/>
      </c>
      <c r="G7" s="9">
        <f>IF($A7="","",D7-E7)</f>
        <v/>
      </c>
    </row>
    <row r="8">
      <c r="A8" s="6">
        <f>IF('Danh sach sale'!A6="","",'Danh sach sale'!A6)</f>
        <v/>
      </c>
      <c r="B8" s="7">
        <f>IF($A8="","",SUMIFS('Thuong ngay'!$E$5:$E$404,'Thuong ngay'!$B$5:$B$404,$A8,'Thuong ngay'!$G$5:$G$404,$B$4))</f>
        <v/>
      </c>
      <c r="C8" s="7">
        <f>IF($A8="","",SUMIFS('Thuong tuan-thang'!$K$5:$K$304,'Thuong tuan-thang'!$D$5:$D$304,$A8,'Thuong tuan-thang'!$C$5:$C$304,$B$4))</f>
        <v/>
      </c>
      <c r="D8" s="7">
        <f>IF($A8="","",B8+C8)</f>
        <v/>
      </c>
      <c r="E8" s="7">
        <f>IF($A8="","",SUMIFS('Nhat ky phat'!$E$5:$E$504,'Nhat ky phat'!$B$5:$B$504,$A8,'Nhat ky phat'!$H$5:$H$504,$B$4))</f>
        <v/>
      </c>
      <c r="F8" s="8">
        <f>IF($A8="","",COUNTIFS('Nhat ky phat'!$B$5:$B$504,$A8,'Nhat ky phat'!$H$5:$H$504,$B$4))</f>
        <v/>
      </c>
      <c r="G8" s="9">
        <f>IF($A8="","",D8-E8)</f>
        <v/>
      </c>
    </row>
    <row r="9">
      <c r="A9" s="6">
        <f>IF('Danh sach sale'!A7="","",'Danh sach sale'!A7)</f>
        <v/>
      </c>
      <c r="B9" s="7">
        <f>IF($A9="","",SUMIFS('Thuong ngay'!$E$5:$E$404,'Thuong ngay'!$B$5:$B$404,$A9,'Thuong ngay'!$G$5:$G$404,$B$4))</f>
        <v/>
      </c>
      <c r="C9" s="7">
        <f>IF($A9="","",SUMIFS('Thuong tuan-thang'!$K$5:$K$304,'Thuong tuan-thang'!$D$5:$D$304,$A9,'Thuong tuan-thang'!$C$5:$C$304,$B$4))</f>
        <v/>
      </c>
      <c r="D9" s="7">
        <f>IF($A9="","",B9+C9)</f>
        <v/>
      </c>
      <c r="E9" s="7">
        <f>IF($A9="","",SUMIFS('Nhat ky phat'!$E$5:$E$504,'Nhat ky phat'!$B$5:$B$504,$A9,'Nhat ky phat'!$H$5:$H$504,$B$4))</f>
        <v/>
      </c>
      <c r="F9" s="8">
        <f>IF($A9="","",COUNTIFS('Nhat ky phat'!$B$5:$B$504,$A9,'Nhat ky phat'!$H$5:$H$504,$B$4))</f>
        <v/>
      </c>
      <c r="G9" s="9">
        <f>IF($A9="","",D9-E9)</f>
        <v/>
      </c>
    </row>
    <row r="10">
      <c r="A10" s="6">
        <f>IF('Danh sach sale'!A8="","",'Danh sach sale'!A8)</f>
        <v/>
      </c>
      <c r="B10" s="7">
        <f>IF($A10="","",SUMIFS('Thuong ngay'!$E$5:$E$404,'Thuong ngay'!$B$5:$B$404,$A10,'Thuong ngay'!$G$5:$G$404,$B$4))</f>
        <v/>
      </c>
      <c r="C10" s="7">
        <f>IF($A10="","",SUMIFS('Thuong tuan-thang'!$K$5:$K$304,'Thuong tuan-thang'!$D$5:$D$304,$A10,'Thuong tuan-thang'!$C$5:$C$304,$B$4))</f>
        <v/>
      </c>
      <c r="D10" s="7">
        <f>IF($A10="","",B10+C10)</f>
        <v/>
      </c>
      <c r="E10" s="7">
        <f>IF($A10="","",SUMIFS('Nhat ky phat'!$E$5:$E$504,'Nhat ky phat'!$B$5:$B$504,$A10,'Nhat ky phat'!$H$5:$H$504,$B$4))</f>
        <v/>
      </c>
      <c r="F10" s="8">
        <f>IF($A10="","",COUNTIFS('Nhat ky phat'!$B$5:$B$504,$A10,'Nhat ky phat'!$H$5:$H$504,$B$4))</f>
        <v/>
      </c>
      <c r="G10" s="9">
        <f>IF($A10="","",D10-E10)</f>
        <v/>
      </c>
    </row>
    <row r="11">
      <c r="A11" s="6">
        <f>IF('Danh sach sale'!A9="","",'Danh sach sale'!A9)</f>
        <v/>
      </c>
      <c r="B11" s="7">
        <f>IF($A11="","",SUMIFS('Thuong ngay'!$E$5:$E$404,'Thuong ngay'!$B$5:$B$404,$A11,'Thuong ngay'!$G$5:$G$404,$B$4))</f>
        <v/>
      </c>
      <c r="C11" s="7">
        <f>IF($A11="","",SUMIFS('Thuong tuan-thang'!$K$5:$K$304,'Thuong tuan-thang'!$D$5:$D$304,$A11,'Thuong tuan-thang'!$C$5:$C$304,$B$4))</f>
        <v/>
      </c>
      <c r="D11" s="7">
        <f>IF($A11="","",B11+C11)</f>
        <v/>
      </c>
      <c r="E11" s="7">
        <f>IF($A11="","",SUMIFS('Nhat ky phat'!$E$5:$E$504,'Nhat ky phat'!$B$5:$B$504,$A11,'Nhat ky phat'!$H$5:$H$504,$B$4))</f>
        <v/>
      </c>
      <c r="F11" s="8">
        <f>IF($A11="","",COUNTIFS('Nhat ky phat'!$B$5:$B$504,$A11,'Nhat ky phat'!$H$5:$H$504,$B$4))</f>
        <v/>
      </c>
      <c r="G11" s="9">
        <f>IF($A11="","",D11-E11)</f>
        <v/>
      </c>
    </row>
    <row r="12">
      <c r="A12" s="6">
        <f>IF('Danh sach sale'!A10="","",'Danh sach sale'!A10)</f>
        <v/>
      </c>
      <c r="B12" s="7">
        <f>IF($A12="","",SUMIFS('Thuong ngay'!$E$5:$E$404,'Thuong ngay'!$B$5:$B$404,$A12,'Thuong ngay'!$G$5:$G$404,$B$4))</f>
        <v/>
      </c>
      <c r="C12" s="7">
        <f>IF($A12="","",SUMIFS('Thuong tuan-thang'!$K$5:$K$304,'Thuong tuan-thang'!$D$5:$D$304,$A12,'Thuong tuan-thang'!$C$5:$C$304,$B$4))</f>
        <v/>
      </c>
      <c r="D12" s="7">
        <f>IF($A12="","",B12+C12)</f>
        <v/>
      </c>
      <c r="E12" s="7">
        <f>IF($A12="","",SUMIFS('Nhat ky phat'!$E$5:$E$504,'Nhat ky phat'!$B$5:$B$504,$A12,'Nhat ky phat'!$H$5:$H$504,$B$4))</f>
        <v/>
      </c>
      <c r="F12" s="8">
        <f>IF($A12="","",COUNTIFS('Nhat ky phat'!$B$5:$B$504,$A12,'Nhat ky phat'!$H$5:$H$504,$B$4))</f>
        <v/>
      </c>
      <c r="G12" s="9">
        <f>IF($A12="","",D12-E12)</f>
        <v/>
      </c>
    </row>
    <row r="13">
      <c r="A13" s="6">
        <f>IF('Danh sach sale'!A11="","",'Danh sach sale'!A11)</f>
        <v/>
      </c>
      <c r="B13" s="7">
        <f>IF($A13="","",SUMIFS('Thuong ngay'!$E$5:$E$404,'Thuong ngay'!$B$5:$B$404,$A13,'Thuong ngay'!$G$5:$G$404,$B$4))</f>
        <v/>
      </c>
      <c r="C13" s="7">
        <f>IF($A13="","",SUMIFS('Thuong tuan-thang'!$K$5:$K$304,'Thuong tuan-thang'!$D$5:$D$304,$A13,'Thuong tuan-thang'!$C$5:$C$304,$B$4))</f>
        <v/>
      </c>
      <c r="D13" s="7">
        <f>IF($A13="","",B13+C13)</f>
        <v/>
      </c>
      <c r="E13" s="7">
        <f>IF($A13="","",SUMIFS('Nhat ky phat'!$E$5:$E$504,'Nhat ky phat'!$B$5:$B$504,$A13,'Nhat ky phat'!$H$5:$H$504,$B$4))</f>
        <v/>
      </c>
      <c r="F13" s="8">
        <f>IF($A13="","",COUNTIFS('Nhat ky phat'!$B$5:$B$504,$A13,'Nhat ky phat'!$H$5:$H$504,$B$4))</f>
        <v/>
      </c>
      <c r="G13" s="9">
        <f>IF($A13="","",D13-E13)</f>
        <v/>
      </c>
    </row>
    <row r="14">
      <c r="A14" s="6">
        <f>IF('Danh sach sale'!A12="","",'Danh sach sale'!A12)</f>
        <v/>
      </c>
      <c r="B14" s="7">
        <f>IF($A14="","",SUMIFS('Thuong ngay'!$E$5:$E$404,'Thuong ngay'!$B$5:$B$404,$A14,'Thuong ngay'!$G$5:$G$404,$B$4))</f>
        <v/>
      </c>
      <c r="C14" s="7">
        <f>IF($A14="","",SUMIFS('Thuong tuan-thang'!$K$5:$K$304,'Thuong tuan-thang'!$D$5:$D$304,$A14,'Thuong tuan-thang'!$C$5:$C$304,$B$4))</f>
        <v/>
      </c>
      <c r="D14" s="7">
        <f>IF($A14="","",B14+C14)</f>
        <v/>
      </c>
      <c r="E14" s="7">
        <f>IF($A14="","",SUMIFS('Nhat ky phat'!$E$5:$E$504,'Nhat ky phat'!$B$5:$B$504,$A14,'Nhat ky phat'!$H$5:$H$504,$B$4))</f>
        <v/>
      </c>
      <c r="F14" s="8">
        <f>IF($A14="","",COUNTIFS('Nhat ky phat'!$B$5:$B$504,$A14,'Nhat ky phat'!$H$5:$H$504,$B$4))</f>
        <v/>
      </c>
      <c r="G14" s="9">
        <f>IF($A14="","",D14-E14)</f>
        <v/>
      </c>
    </row>
    <row r="15">
      <c r="A15" s="6">
        <f>IF('Danh sach sale'!A13="","",'Danh sach sale'!A13)</f>
        <v/>
      </c>
      <c r="B15" s="7">
        <f>IF($A15="","",SUMIFS('Thuong ngay'!$E$5:$E$404,'Thuong ngay'!$B$5:$B$404,$A15,'Thuong ngay'!$G$5:$G$404,$B$4))</f>
        <v/>
      </c>
      <c r="C15" s="7">
        <f>IF($A15="","",SUMIFS('Thuong tuan-thang'!$K$5:$K$304,'Thuong tuan-thang'!$D$5:$D$304,$A15,'Thuong tuan-thang'!$C$5:$C$304,$B$4))</f>
        <v/>
      </c>
      <c r="D15" s="7">
        <f>IF($A15="","",B15+C15)</f>
        <v/>
      </c>
      <c r="E15" s="7">
        <f>IF($A15="","",SUMIFS('Nhat ky phat'!$E$5:$E$504,'Nhat ky phat'!$B$5:$B$504,$A15,'Nhat ky phat'!$H$5:$H$504,$B$4))</f>
        <v/>
      </c>
      <c r="F15" s="8">
        <f>IF($A15="","",COUNTIFS('Nhat ky phat'!$B$5:$B$504,$A15,'Nhat ky phat'!$H$5:$H$504,$B$4))</f>
        <v/>
      </c>
      <c r="G15" s="9">
        <f>IF($A15="","",D15-E15)</f>
        <v/>
      </c>
    </row>
    <row r="16">
      <c r="A16" s="6">
        <f>IF('Danh sach sale'!A14="","",'Danh sach sale'!A14)</f>
        <v/>
      </c>
      <c r="B16" s="7">
        <f>IF($A16="","",SUMIFS('Thuong ngay'!$E$5:$E$404,'Thuong ngay'!$B$5:$B$404,$A16,'Thuong ngay'!$G$5:$G$404,$B$4))</f>
        <v/>
      </c>
      <c r="C16" s="7">
        <f>IF($A16="","",SUMIFS('Thuong tuan-thang'!$K$5:$K$304,'Thuong tuan-thang'!$D$5:$D$304,$A16,'Thuong tuan-thang'!$C$5:$C$304,$B$4))</f>
        <v/>
      </c>
      <c r="D16" s="7">
        <f>IF($A16="","",B16+C16)</f>
        <v/>
      </c>
      <c r="E16" s="7">
        <f>IF($A16="","",SUMIFS('Nhat ky phat'!$E$5:$E$504,'Nhat ky phat'!$B$5:$B$504,$A16,'Nhat ky phat'!$H$5:$H$504,$B$4))</f>
        <v/>
      </c>
      <c r="F16" s="8">
        <f>IF($A16="","",COUNTIFS('Nhat ky phat'!$B$5:$B$504,$A16,'Nhat ky phat'!$H$5:$H$504,$B$4))</f>
        <v/>
      </c>
      <c r="G16" s="9">
        <f>IF($A16="","",D16-E16)</f>
        <v/>
      </c>
    </row>
    <row r="17">
      <c r="A17" s="6">
        <f>IF('Danh sach sale'!A15="","",'Danh sach sale'!A15)</f>
        <v/>
      </c>
      <c r="B17" s="7">
        <f>IF($A17="","",SUMIFS('Thuong ngay'!$E$5:$E$404,'Thuong ngay'!$B$5:$B$404,$A17,'Thuong ngay'!$G$5:$G$404,$B$4))</f>
        <v/>
      </c>
      <c r="C17" s="7">
        <f>IF($A17="","",SUMIFS('Thuong tuan-thang'!$K$5:$K$304,'Thuong tuan-thang'!$D$5:$D$304,$A17,'Thuong tuan-thang'!$C$5:$C$304,$B$4))</f>
        <v/>
      </c>
      <c r="D17" s="7">
        <f>IF($A17="","",B17+C17)</f>
        <v/>
      </c>
      <c r="E17" s="7">
        <f>IF($A17="","",SUMIFS('Nhat ky phat'!$E$5:$E$504,'Nhat ky phat'!$B$5:$B$504,$A17,'Nhat ky phat'!$H$5:$H$504,$B$4))</f>
        <v/>
      </c>
      <c r="F17" s="8">
        <f>IF($A17="","",COUNTIFS('Nhat ky phat'!$B$5:$B$504,$A17,'Nhat ky phat'!$H$5:$H$504,$B$4))</f>
        <v/>
      </c>
      <c r="G17" s="9">
        <f>IF($A17="","",D17-E17)</f>
        <v/>
      </c>
    </row>
    <row r="18">
      <c r="A18" s="6">
        <f>IF('Danh sach sale'!A16="","",'Danh sach sale'!A16)</f>
        <v/>
      </c>
      <c r="B18" s="7">
        <f>IF($A18="","",SUMIFS('Thuong ngay'!$E$5:$E$404,'Thuong ngay'!$B$5:$B$404,$A18,'Thuong ngay'!$G$5:$G$404,$B$4))</f>
        <v/>
      </c>
      <c r="C18" s="7">
        <f>IF($A18="","",SUMIFS('Thuong tuan-thang'!$K$5:$K$304,'Thuong tuan-thang'!$D$5:$D$304,$A18,'Thuong tuan-thang'!$C$5:$C$304,$B$4))</f>
        <v/>
      </c>
      <c r="D18" s="7">
        <f>IF($A18="","",B18+C18)</f>
        <v/>
      </c>
      <c r="E18" s="7">
        <f>IF($A18="","",SUMIFS('Nhat ky phat'!$E$5:$E$504,'Nhat ky phat'!$B$5:$B$504,$A18,'Nhat ky phat'!$H$5:$H$504,$B$4))</f>
        <v/>
      </c>
      <c r="F18" s="8">
        <f>IF($A18="","",COUNTIFS('Nhat ky phat'!$B$5:$B$504,$A18,'Nhat ky phat'!$H$5:$H$504,$B$4))</f>
        <v/>
      </c>
      <c r="G18" s="9">
        <f>IF($A18="","",D18-E18)</f>
        <v/>
      </c>
    </row>
    <row r="19">
      <c r="A19" s="6">
        <f>IF('Danh sach sale'!A17="","",'Danh sach sale'!A17)</f>
        <v/>
      </c>
      <c r="B19" s="7">
        <f>IF($A19="","",SUMIFS('Thuong ngay'!$E$5:$E$404,'Thuong ngay'!$B$5:$B$404,$A19,'Thuong ngay'!$G$5:$G$404,$B$4))</f>
        <v/>
      </c>
      <c r="C19" s="7">
        <f>IF($A19="","",SUMIFS('Thuong tuan-thang'!$K$5:$K$304,'Thuong tuan-thang'!$D$5:$D$304,$A19,'Thuong tuan-thang'!$C$5:$C$304,$B$4))</f>
        <v/>
      </c>
      <c r="D19" s="7">
        <f>IF($A19="","",B19+C19)</f>
        <v/>
      </c>
      <c r="E19" s="7">
        <f>IF($A19="","",SUMIFS('Nhat ky phat'!$E$5:$E$504,'Nhat ky phat'!$B$5:$B$504,$A19,'Nhat ky phat'!$H$5:$H$504,$B$4))</f>
        <v/>
      </c>
      <c r="F19" s="8">
        <f>IF($A19="","",COUNTIFS('Nhat ky phat'!$B$5:$B$504,$A19,'Nhat ky phat'!$H$5:$H$504,$B$4))</f>
        <v/>
      </c>
      <c r="G19" s="9">
        <f>IF($A19="","",D19-E19)</f>
        <v/>
      </c>
    </row>
    <row r="20">
      <c r="A20" s="6">
        <f>IF('Danh sach sale'!A18="","",'Danh sach sale'!A18)</f>
        <v/>
      </c>
      <c r="B20" s="7">
        <f>IF($A20="","",SUMIFS('Thuong ngay'!$E$5:$E$404,'Thuong ngay'!$B$5:$B$404,$A20,'Thuong ngay'!$G$5:$G$404,$B$4))</f>
        <v/>
      </c>
      <c r="C20" s="7">
        <f>IF($A20="","",SUMIFS('Thuong tuan-thang'!$K$5:$K$304,'Thuong tuan-thang'!$D$5:$D$304,$A20,'Thuong tuan-thang'!$C$5:$C$304,$B$4))</f>
        <v/>
      </c>
      <c r="D20" s="7">
        <f>IF($A20="","",B20+C20)</f>
        <v/>
      </c>
      <c r="E20" s="7">
        <f>IF($A20="","",SUMIFS('Nhat ky phat'!$E$5:$E$504,'Nhat ky phat'!$B$5:$B$504,$A20,'Nhat ky phat'!$H$5:$H$504,$B$4))</f>
        <v/>
      </c>
      <c r="F20" s="8">
        <f>IF($A20="","",COUNTIFS('Nhat ky phat'!$B$5:$B$504,$A20,'Nhat ky phat'!$H$5:$H$504,$B$4))</f>
        <v/>
      </c>
      <c r="G20" s="9">
        <f>IF($A20="","",D20-E20)</f>
        <v/>
      </c>
    </row>
    <row r="21">
      <c r="A21" s="6">
        <f>IF('Danh sach sale'!A19="","",'Danh sach sale'!A19)</f>
        <v/>
      </c>
      <c r="B21" s="7">
        <f>IF($A21="","",SUMIFS('Thuong ngay'!$E$5:$E$404,'Thuong ngay'!$B$5:$B$404,$A21,'Thuong ngay'!$G$5:$G$404,$B$4))</f>
        <v/>
      </c>
      <c r="C21" s="7">
        <f>IF($A21="","",SUMIFS('Thuong tuan-thang'!$K$5:$K$304,'Thuong tuan-thang'!$D$5:$D$304,$A21,'Thuong tuan-thang'!$C$5:$C$304,$B$4))</f>
        <v/>
      </c>
      <c r="D21" s="7">
        <f>IF($A21="","",B21+C21)</f>
        <v/>
      </c>
      <c r="E21" s="7">
        <f>IF($A21="","",SUMIFS('Nhat ky phat'!$E$5:$E$504,'Nhat ky phat'!$B$5:$B$504,$A21,'Nhat ky phat'!$H$5:$H$504,$B$4))</f>
        <v/>
      </c>
      <c r="F21" s="8">
        <f>IF($A21="","",COUNTIFS('Nhat ky phat'!$B$5:$B$504,$A21,'Nhat ky phat'!$H$5:$H$504,$B$4))</f>
        <v/>
      </c>
      <c r="G21" s="9">
        <f>IF($A21="","",D21-E21)</f>
        <v/>
      </c>
    </row>
    <row r="22">
      <c r="A22" s="6">
        <f>IF('Danh sach sale'!A20="","",'Danh sach sale'!A20)</f>
        <v/>
      </c>
      <c r="B22" s="7">
        <f>IF($A22="","",SUMIFS('Thuong ngay'!$E$5:$E$404,'Thuong ngay'!$B$5:$B$404,$A22,'Thuong ngay'!$G$5:$G$404,$B$4))</f>
        <v/>
      </c>
      <c r="C22" s="7">
        <f>IF($A22="","",SUMIFS('Thuong tuan-thang'!$K$5:$K$304,'Thuong tuan-thang'!$D$5:$D$304,$A22,'Thuong tuan-thang'!$C$5:$C$304,$B$4))</f>
        <v/>
      </c>
      <c r="D22" s="7">
        <f>IF($A22="","",B22+C22)</f>
        <v/>
      </c>
      <c r="E22" s="7">
        <f>IF($A22="","",SUMIFS('Nhat ky phat'!$E$5:$E$504,'Nhat ky phat'!$B$5:$B$504,$A22,'Nhat ky phat'!$H$5:$H$504,$B$4))</f>
        <v/>
      </c>
      <c r="F22" s="8">
        <f>IF($A22="","",COUNTIFS('Nhat ky phat'!$B$5:$B$504,$A22,'Nhat ky phat'!$H$5:$H$504,$B$4))</f>
        <v/>
      </c>
      <c r="G22" s="9">
        <f>IF($A22="","",D22-E22)</f>
        <v/>
      </c>
    </row>
    <row r="23">
      <c r="A23" s="6">
        <f>IF('Danh sach sale'!A21="","",'Danh sach sale'!A21)</f>
        <v/>
      </c>
      <c r="B23" s="7">
        <f>IF($A23="","",SUMIFS('Thuong ngay'!$E$5:$E$404,'Thuong ngay'!$B$5:$B$404,$A23,'Thuong ngay'!$G$5:$G$404,$B$4))</f>
        <v/>
      </c>
      <c r="C23" s="7">
        <f>IF($A23="","",SUMIFS('Thuong tuan-thang'!$K$5:$K$304,'Thuong tuan-thang'!$D$5:$D$304,$A23,'Thuong tuan-thang'!$C$5:$C$304,$B$4))</f>
        <v/>
      </c>
      <c r="D23" s="7">
        <f>IF($A23="","",B23+C23)</f>
        <v/>
      </c>
      <c r="E23" s="7">
        <f>IF($A23="","",SUMIFS('Nhat ky phat'!$E$5:$E$504,'Nhat ky phat'!$B$5:$B$504,$A23,'Nhat ky phat'!$H$5:$H$504,$B$4))</f>
        <v/>
      </c>
      <c r="F23" s="8">
        <f>IF($A23="","",COUNTIFS('Nhat ky phat'!$B$5:$B$504,$A23,'Nhat ky phat'!$H$5:$H$504,$B$4))</f>
        <v/>
      </c>
      <c r="G23" s="9">
        <f>IF($A23="","",D23-E23)</f>
        <v/>
      </c>
    </row>
    <row r="24">
      <c r="A24" s="6">
        <f>IF('Danh sach sale'!A22="","",'Danh sach sale'!A22)</f>
        <v/>
      </c>
      <c r="B24" s="7">
        <f>IF($A24="","",SUMIFS('Thuong ngay'!$E$5:$E$404,'Thuong ngay'!$B$5:$B$404,$A24,'Thuong ngay'!$G$5:$G$404,$B$4))</f>
        <v/>
      </c>
      <c r="C24" s="7">
        <f>IF($A24="","",SUMIFS('Thuong tuan-thang'!$K$5:$K$304,'Thuong tuan-thang'!$D$5:$D$304,$A24,'Thuong tuan-thang'!$C$5:$C$304,$B$4))</f>
        <v/>
      </c>
      <c r="D24" s="7">
        <f>IF($A24="","",B24+C24)</f>
        <v/>
      </c>
      <c r="E24" s="7">
        <f>IF($A24="","",SUMIFS('Nhat ky phat'!$E$5:$E$504,'Nhat ky phat'!$B$5:$B$504,$A24,'Nhat ky phat'!$H$5:$H$504,$B$4))</f>
        <v/>
      </c>
      <c r="F24" s="8">
        <f>IF($A24="","",COUNTIFS('Nhat ky phat'!$B$5:$B$504,$A24,'Nhat ky phat'!$H$5:$H$504,$B$4))</f>
        <v/>
      </c>
      <c r="G24" s="9">
        <f>IF($A24="","",D24-E24)</f>
        <v/>
      </c>
    </row>
    <row r="25">
      <c r="A25" s="6">
        <f>IF('Danh sach sale'!A23="","",'Danh sach sale'!A23)</f>
        <v/>
      </c>
      <c r="B25" s="7">
        <f>IF($A25="","",SUMIFS('Thuong ngay'!$E$5:$E$404,'Thuong ngay'!$B$5:$B$404,$A25,'Thuong ngay'!$G$5:$G$404,$B$4))</f>
        <v/>
      </c>
      <c r="C25" s="7">
        <f>IF($A25="","",SUMIFS('Thuong tuan-thang'!$K$5:$K$304,'Thuong tuan-thang'!$D$5:$D$304,$A25,'Thuong tuan-thang'!$C$5:$C$304,$B$4))</f>
        <v/>
      </c>
      <c r="D25" s="7">
        <f>IF($A25="","",B25+C25)</f>
        <v/>
      </c>
      <c r="E25" s="7">
        <f>IF($A25="","",SUMIFS('Nhat ky phat'!$E$5:$E$504,'Nhat ky phat'!$B$5:$B$504,$A25,'Nhat ky phat'!$H$5:$H$504,$B$4))</f>
        <v/>
      </c>
      <c r="F25" s="8">
        <f>IF($A25="","",COUNTIFS('Nhat ky phat'!$B$5:$B$504,$A25,'Nhat ky phat'!$H$5:$H$504,$B$4))</f>
        <v/>
      </c>
      <c r="G25" s="9">
        <f>IF($A25="","",D25-E25)</f>
        <v/>
      </c>
    </row>
    <row r="26">
      <c r="A26" s="6">
        <f>IF('Danh sach sale'!A24="","",'Danh sach sale'!A24)</f>
        <v/>
      </c>
      <c r="B26" s="7">
        <f>IF($A26="","",SUMIFS('Thuong ngay'!$E$5:$E$404,'Thuong ngay'!$B$5:$B$404,$A26,'Thuong ngay'!$G$5:$G$404,$B$4))</f>
        <v/>
      </c>
      <c r="C26" s="7">
        <f>IF($A26="","",SUMIFS('Thuong tuan-thang'!$K$5:$K$304,'Thuong tuan-thang'!$D$5:$D$304,$A26,'Thuong tuan-thang'!$C$5:$C$304,$B$4))</f>
        <v/>
      </c>
      <c r="D26" s="7">
        <f>IF($A26="","",B26+C26)</f>
        <v/>
      </c>
      <c r="E26" s="7">
        <f>IF($A26="","",SUMIFS('Nhat ky phat'!$E$5:$E$504,'Nhat ky phat'!$B$5:$B$504,$A26,'Nhat ky phat'!$H$5:$H$504,$B$4))</f>
        <v/>
      </c>
      <c r="F26" s="8">
        <f>IF($A26="","",COUNTIFS('Nhat ky phat'!$B$5:$B$504,$A26,'Nhat ky phat'!$H$5:$H$504,$B$4))</f>
        <v/>
      </c>
      <c r="G26" s="9">
        <f>IF($A26="","",D26-E26)</f>
        <v/>
      </c>
    </row>
    <row r="27">
      <c r="A27" s="6">
        <f>IF('Danh sach sale'!A25="","",'Danh sach sale'!A25)</f>
        <v/>
      </c>
      <c r="B27" s="7">
        <f>IF($A27="","",SUMIFS('Thuong ngay'!$E$5:$E$404,'Thuong ngay'!$B$5:$B$404,$A27,'Thuong ngay'!$G$5:$G$404,$B$4))</f>
        <v/>
      </c>
      <c r="C27" s="7">
        <f>IF($A27="","",SUMIFS('Thuong tuan-thang'!$K$5:$K$304,'Thuong tuan-thang'!$D$5:$D$304,$A27,'Thuong tuan-thang'!$C$5:$C$304,$B$4))</f>
        <v/>
      </c>
      <c r="D27" s="7">
        <f>IF($A27="","",B27+C27)</f>
        <v/>
      </c>
      <c r="E27" s="7">
        <f>IF($A27="","",SUMIFS('Nhat ky phat'!$E$5:$E$504,'Nhat ky phat'!$B$5:$B$504,$A27,'Nhat ky phat'!$H$5:$H$504,$B$4))</f>
        <v/>
      </c>
      <c r="F27" s="8">
        <f>IF($A27="","",COUNTIFS('Nhat ky phat'!$B$5:$B$504,$A27,'Nhat ky phat'!$H$5:$H$504,$B$4))</f>
        <v/>
      </c>
      <c r="G27" s="9">
        <f>IF($A27="","",D27-E27)</f>
        <v/>
      </c>
    </row>
    <row r="28">
      <c r="A28" s="6">
        <f>IF('Danh sach sale'!A26="","",'Danh sach sale'!A26)</f>
        <v/>
      </c>
      <c r="B28" s="7">
        <f>IF($A28="","",SUMIFS('Thuong ngay'!$E$5:$E$404,'Thuong ngay'!$B$5:$B$404,$A28,'Thuong ngay'!$G$5:$G$404,$B$4))</f>
        <v/>
      </c>
      <c r="C28" s="7">
        <f>IF($A28="","",SUMIFS('Thuong tuan-thang'!$K$5:$K$304,'Thuong tuan-thang'!$D$5:$D$304,$A28,'Thuong tuan-thang'!$C$5:$C$304,$B$4))</f>
        <v/>
      </c>
      <c r="D28" s="7">
        <f>IF($A28="","",B28+C28)</f>
        <v/>
      </c>
      <c r="E28" s="7">
        <f>IF($A28="","",SUMIFS('Nhat ky phat'!$E$5:$E$504,'Nhat ky phat'!$B$5:$B$504,$A28,'Nhat ky phat'!$H$5:$H$504,$B$4))</f>
        <v/>
      </c>
      <c r="F28" s="8">
        <f>IF($A28="","",COUNTIFS('Nhat ky phat'!$B$5:$B$504,$A28,'Nhat ky phat'!$H$5:$H$504,$B$4))</f>
        <v/>
      </c>
      <c r="G28" s="9">
        <f>IF($A28="","",D28-E28)</f>
        <v/>
      </c>
    </row>
    <row r="29">
      <c r="A29" s="6">
        <f>IF('Danh sach sale'!A27="","",'Danh sach sale'!A27)</f>
        <v/>
      </c>
      <c r="B29" s="7">
        <f>IF($A29="","",SUMIFS('Thuong ngay'!$E$5:$E$404,'Thuong ngay'!$B$5:$B$404,$A29,'Thuong ngay'!$G$5:$G$404,$B$4))</f>
        <v/>
      </c>
      <c r="C29" s="7">
        <f>IF($A29="","",SUMIFS('Thuong tuan-thang'!$K$5:$K$304,'Thuong tuan-thang'!$D$5:$D$304,$A29,'Thuong tuan-thang'!$C$5:$C$304,$B$4))</f>
        <v/>
      </c>
      <c r="D29" s="7">
        <f>IF($A29="","",B29+C29)</f>
        <v/>
      </c>
      <c r="E29" s="7">
        <f>IF($A29="","",SUMIFS('Nhat ky phat'!$E$5:$E$504,'Nhat ky phat'!$B$5:$B$504,$A29,'Nhat ky phat'!$H$5:$H$504,$B$4))</f>
        <v/>
      </c>
      <c r="F29" s="8">
        <f>IF($A29="","",COUNTIFS('Nhat ky phat'!$B$5:$B$504,$A29,'Nhat ky phat'!$H$5:$H$504,$B$4))</f>
        <v/>
      </c>
      <c r="G29" s="9">
        <f>IF($A29="","",D29-E29)</f>
        <v/>
      </c>
    </row>
    <row r="30">
      <c r="A30" s="6">
        <f>IF('Danh sach sale'!A28="","",'Danh sach sale'!A28)</f>
        <v/>
      </c>
      <c r="B30" s="7">
        <f>IF($A30="","",SUMIFS('Thuong ngay'!$E$5:$E$404,'Thuong ngay'!$B$5:$B$404,$A30,'Thuong ngay'!$G$5:$G$404,$B$4))</f>
        <v/>
      </c>
      <c r="C30" s="7">
        <f>IF($A30="","",SUMIFS('Thuong tuan-thang'!$K$5:$K$304,'Thuong tuan-thang'!$D$5:$D$304,$A30,'Thuong tuan-thang'!$C$5:$C$304,$B$4))</f>
        <v/>
      </c>
      <c r="D30" s="7">
        <f>IF($A30="","",B30+C30)</f>
        <v/>
      </c>
      <c r="E30" s="7">
        <f>IF($A30="","",SUMIFS('Nhat ky phat'!$E$5:$E$504,'Nhat ky phat'!$B$5:$B$504,$A30,'Nhat ky phat'!$H$5:$H$504,$B$4))</f>
        <v/>
      </c>
      <c r="F30" s="8">
        <f>IF($A30="","",COUNTIFS('Nhat ky phat'!$B$5:$B$504,$A30,'Nhat ky phat'!$H$5:$H$504,$B$4))</f>
        <v/>
      </c>
      <c r="G30" s="9">
        <f>IF($A30="","",D30-E30)</f>
        <v/>
      </c>
    </row>
    <row r="31">
      <c r="A31" s="6">
        <f>IF('Danh sach sale'!A29="","",'Danh sach sale'!A29)</f>
        <v/>
      </c>
      <c r="B31" s="7">
        <f>IF($A31="","",SUMIFS('Thuong ngay'!$E$5:$E$404,'Thuong ngay'!$B$5:$B$404,$A31,'Thuong ngay'!$G$5:$G$404,$B$4))</f>
        <v/>
      </c>
      <c r="C31" s="7">
        <f>IF($A31="","",SUMIFS('Thuong tuan-thang'!$K$5:$K$304,'Thuong tuan-thang'!$D$5:$D$304,$A31,'Thuong tuan-thang'!$C$5:$C$304,$B$4))</f>
        <v/>
      </c>
      <c r="D31" s="7">
        <f>IF($A31="","",B31+C31)</f>
        <v/>
      </c>
      <c r="E31" s="7">
        <f>IF($A31="","",SUMIFS('Nhat ky phat'!$E$5:$E$504,'Nhat ky phat'!$B$5:$B$504,$A31,'Nhat ky phat'!$H$5:$H$504,$B$4))</f>
        <v/>
      </c>
      <c r="F31" s="8">
        <f>IF($A31="","",COUNTIFS('Nhat ky phat'!$B$5:$B$504,$A31,'Nhat ky phat'!$H$5:$H$504,$B$4))</f>
        <v/>
      </c>
      <c r="G31" s="9">
        <f>IF($A31="","",D31-E31)</f>
        <v/>
      </c>
    </row>
    <row r="32">
      <c r="A32" s="6">
        <f>IF('Danh sach sale'!A30="","",'Danh sach sale'!A30)</f>
        <v/>
      </c>
      <c r="B32" s="7">
        <f>IF($A32="","",SUMIFS('Thuong ngay'!$E$5:$E$404,'Thuong ngay'!$B$5:$B$404,$A32,'Thuong ngay'!$G$5:$G$404,$B$4))</f>
        <v/>
      </c>
      <c r="C32" s="7">
        <f>IF($A32="","",SUMIFS('Thuong tuan-thang'!$K$5:$K$304,'Thuong tuan-thang'!$D$5:$D$304,$A32,'Thuong tuan-thang'!$C$5:$C$304,$B$4))</f>
        <v/>
      </c>
      <c r="D32" s="7">
        <f>IF($A32="","",B32+C32)</f>
        <v/>
      </c>
      <c r="E32" s="7">
        <f>IF($A32="","",SUMIFS('Nhat ky phat'!$E$5:$E$504,'Nhat ky phat'!$B$5:$B$504,$A32,'Nhat ky phat'!$H$5:$H$504,$B$4))</f>
        <v/>
      </c>
      <c r="F32" s="8">
        <f>IF($A32="","",COUNTIFS('Nhat ky phat'!$B$5:$B$504,$A32,'Nhat ky phat'!$H$5:$H$504,$B$4))</f>
        <v/>
      </c>
      <c r="G32" s="9">
        <f>IF($A32="","",D32-E32)</f>
        <v/>
      </c>
    </row>
    <row r="33">
      <c r="A33" s="6">
        <f>IF('Danh sach sale'!A31="","",'Danh sach sale'!A31)</f>
        <v/>
      </c>
      <c r="B33" s="7">
        <f>IF($A33="","",SUMIFS('Thuong ngay'!$E$5:$E$404,'Thuong ngay'!$B$5:$B$404,$A33,'Thuong ngay'!$G$5:$G$404,$B$4))</f>
        <v/>
      </c>
      <c r="C33" s="7">
        <f>IF($A33="","",SUMIFS('Thuong tuan-thang'!$K$5:$K$304,'Thuong tuan-thang'!$D$5:$D$304,$A33,'Thuong tuan-thang'!$C$5:$C$304,$B$4))</f>
        <v/>
      </c>
      <c r="D33" s="7">
        <f>IF($A33="","",B33+C33)</f>
        <v/>
      </c>
      <c r="E33" s="7">
        <f>IF($A33="","",SUMIFS('Nhat ky phat'!$E$5:$E$504,'Nhat ky phat'!$B$5:$B$504,$A33,'Nhat ky phat'!$H$5:$H$504,$B$4))</f>
        <v/>
      </c>
      <c r="F33" s="8">
        <f>IF($A33="","",COUNTIFS('Nhat ky phat'!$B$5:$B$504,$A33,'Nhat ky phat'!$H$5:$H$504,$B$4))</f>
        <v/>
      </c>
      <c r="G33" s="9">
        <f>IF($A33="","",D33-E33)</f>
        <v/>
      </c>
    </row>
    <row r="34">
      <c r="A34" s="6">
        <f>IF('Danh sach sale'!A32="","",'Danh sach sale'!A32)</f>
        <v/>
      </c>
      <c r="B34" s="7">
        <f>IF($A34="","",SUMIFS('Thuong ngay'!$E$5:$E$404,'Thuong ngay'!$B$5:$B$404,$A34,'Thuong ngay'!$G$5:$G$404,$B$4))</f>
        <v/>
      </c>
      <c r="C34" s="7">
        <f>IF($A34="","",SUMIFS('Thuong tuan-thang'!$K$5:$K$304,'Thuong tuan-thang'!$D$5:$D$304,$A34,'Thuong tuan-thang'!$C$5:$C$304,$B$4))</f>
        <v/>
      </c>
      <c r="D34" s="7">
        <f>IF($A34="","",B34+C34)</f>
        <v/>
      </c>
      <c r="E34" s="7">
        <f>IF($A34="","",SUMIFS('Nhat ky phat'!$E$5:$E$504,'Nhat ky phat'!$B$5:$B$504,$A34,'Nhat ky phat'!$H$5:$H$504,$B$4))</f>
        <v/>
      </c>
      <c r="F34" s="8">
        <f>IF($A34="","",COUNTIFS('Nhat ky phat'!$B$5:$B$504,$A34,'Nhat ky phat'!$H$5:$H$504,$B$4))</f>
        <v/>
      </c>
      <c r="G34" s="9">
        <f>IF($A34="","",D34-E34)</f>
        <v/>
      </c>
    </row>
    <row r="35">
      <c r="A35" s="6">
        <f>IF('Danh sach sale'!A33="","",'Danh sach sale'!A33)</f>
        <v/>
      </c>
      <c r="B35" s="7">
        <f>IF($A35="","",SUMIFS('Thuong ngay'!$E$5:$E$404,'Thuong ngay'!$B$5:$B$404,$A35,'Thuong ngay'!$G$5:$G$404,$B$4))</f>
        <v/>
      </c>
      <c r="C35" s="7">
        <f>IF($A35="","",SUMIFS('Thuong tuan-thang'!$K$5:$K$304,'Thuong tuan-thang'!$D$5:$D$304,$A35,'Thuong tuan-thang'!$C$5:$C$304,$B$4))</f>
        <v/>
      </c>
      <c r="D35" s="7">
        <f>IF($A35="","",B35+C35)</f>
        <v/>
      </c>
      <c r="E35" s="7">
        <f>IF($A35="","",SUMIFS('Nhat ky phat'!$E$5:$E$504,'Nhat ky phat'!$B$5:$B$504,$A35,'Nhat ky phat'!$H$5:$H$504,$B$4))</f>
        <v/>
      </c>
      <c r="F35" s="8">
        <f>IF($A35="","",COUNTIFS('Nhat ky phat'!$B$5:$B$504,$A35,'Nhat ky phat'!$H$5:$H$504,$B$4))</f>
        <v/>
      </c>
      <c r="G35" s="9">
        <f>IF($A35="","",D35-E35)</f>
        <v/>
      </c>
    </row>
    <row r="36">
      <c r="A36" s="6">
        <f>IF('Danh sach sale'!A34="","",'Danh sach sale'!A34)</f>
        <v/>
      </c>
      <c r="B36" s="7">
        <f>IF($A36="","",SUMIFS('Thuong ngay'!$E$5:$E$404,'Thuong ngay'!$B$5:$B$404,$A36,'Thuong ngay'!$G$5:$G$404,$B$4))</f>
        <v/>
      </c>
      <c r="C36" s="7">
        <f>IF($A36="","",SUMIFS('Thuong tuan-thang'!$K$5:$K$304,'Thuong tuan-thang'!$D$5:$D$304,$A36,'Thuong tuan-thang'!$C$5:$C$304,$B$4))</f>
        <v/>
      </c>
      <c r="D36" s="7">
        <f>IF($A36="","",B36+C36)</f>
        <v/>
      </c>
      <c r="E36" s="7">
        <f>IF($A36="","",SUMIFS('Nhat ky phat'!$E$5:$E$504,'Nhat ky phat'!$B$5:$B$504,$A36,'Nhat ky phat'!$H$5:$H$504,$B$4))</f>
        <v/>
      </c>
      <c r="F36" s="8">
        <f>IF($A36="","",COUNTIFS('Nhat ky phat'!$B$5:$B$504,$A36,'Nhat ky phat'!$H$5:$H$504,$B$4))</f>
        <v/>
      </c>
      <c r="G36" s="9">
        <f>IF($A36="","",D36-E36)</f>
        <v/>
      </c>
    </row>
    <row r="37">
      <c r="A37" s="6">
        <f>IF('Danh sach sale'!A35="","",'Danh sach sale'!A35)</f>
        <v/>
      </c>
      <c r="B37" s="7">
        <f>IF($A37="","",SUMIFS('Thuong ngay'!$E$5:$E$404,'Thuong ngay'!$B$5:$B$404,$A37,'Thuong ngay'!$G$5:$G$404,$B$4))</f>
        <v/>
      </c>
      <c r="C37" s="7">
        <f>IF($A37="","",SUMIFS('Thuong tuan-thang'!$K$5:$K$304,'Thuong tuan-thang'!$D$5:$D$304,$A37,'Thuong tuan-thang'!$C$5:$C$304,$B$4))</f>
        <v/>
      </c>
      <c r="D37" s="7">
        <f>IF($A37="","",B37+C37)</f>
        <v/>
      </c>
      <c r="E37" s="7">
        <f>IF($A37="","",SUMIFS('Nhat ky phat'!$E$5:$E$504,'Nhat ky phat'!$B$5:$B$504,$A37,'Nhat ky phat'!$H$5:$H$504,$B$4))</f>
        <v/>
      </c>
      <c r="F37" s="8">
        <f>IF($A37="","",COUNTIFS('Nhat ky phat'!$B$5:$B$504,$A37,'Nhat ky phat'!$H$5:$H$504,$B$4))</f>
        <v/>
      </c>
      <c r="G37" s="9">
        <f>IF($A37="","",D37-E37)</f>
        <v/>
      </c>
    </row>
    <row r="38">
      <c r="A38" s="6">
        <f>IF('Danh sach sale'!A36="","",'Danh sach sale'!A36)</f>
        <v/>
      </c>
      <c r="B38" s="7">
        <f>IF($A38="","",SUMIFS('Thuong ngay'!$E$5:$E$404,'Thuong ngay'!$B$5:$B$404,$A38,'Thuong ngay'!$G$5:$G$404,$B$4))</f>
        <v/>
      </c>
      <c r="C38" s="7">
        <f>IF($A38="","",SUMIFS('Thuong tuan-thang'!$K$5:$K$304,'Thuong tuan-thang'!$D$5:$D$304,$A38,'Thuong tuan-thang'!$C$5:$C$304,$B$4))</f>
        <v/>
      </c>
      <c r="D38" s="7">
        <f>IF($A38="","",B38+C38)</f>
        <v/>
      </c>
      <c r="E38" s="7">
        <f>IF($A38="","",SUMIFS('Nhat ky phat'!$E$5:$E$504,'Nhat ky phat'!$B$5:$B$504,$A38,'Nhat ky phat'!$H$5:$H$504,$B$4))</f>
        <v/>
      </c>
      <c r="F38" s="8">
        <f>IF($A38="","",COUNTIFS('Nhat ky phat'!$B$5:$B$504,$A38,'Nhat ky phat'!$H$5:$H$504,$B$4))</f>
        <v/>
      </c>
      <c r="G38" s="9">
        <f>IF($A38="","",D38-E38)</f>
        <v/>
      </c>
    </row>
    <row r="39">
      <c r="A39" s="6">
        <f>IF('Danh sach sale'!A37="","",'Danh sach sale'!A37)</f>
        <v/>
      </c>
      <c r="B39" s="7">
        <f>IF($A39="","",SUMIFS('Thuong ngay'!$E$5:$E$404,'Thuong ngay'!$B$5:$B$404,$A39,'Thuong ngay'!$G$5:$G$404,$B$4))</f>
        <v/>
      </c>
      <c r="C39" s="7">
        <f>IF($A39="","",SUMIFS('Thuong tuan-thang'!$K$5:$K$304,'Thuong tuan-thang'!$D$5:$D$304,$A39,'Thuong tuan-thang'!$C$5:$C$304,$B$4))</f>
        <v/>
      </c>
      <c r="D39" s="7">
        <f>IF($A39="","",B39+C39)</f>
        <v/>
      </c>
      <c r="E39" s="7">
        <f>IF($A39="","",SUMIFS('Nhat ky phat'!$E$5:$E$504,'Nhat ky phat'!$B$5:$B$504,$A39,'Nhat ky phat'!$H$5:$H$504,$B$4))</f>
        <v/>
      </c>
      <c r="F39" s="8">
        <f>IF($A39="","",COUNTIFS('Nhat ky phat'!$B$5:$B$504,$A39,'Nhat ky phat'!$H$5:$H$504,$B$4))</f>
        <v/>
      </c>
      <c r="G39" s="9">
        <f>IF($A39="","",D39-E39)</f>
        <v/>
      </c>
    </row>
    <row r="40">
      <c r="A40" s="6">
        <f>IF('Danh sach sale'!A38="","",'Danh sach sale'!A38)</f>
        <v/>
      </c>
      <c r="B40" s="7">
        <f>IF($A40="","",SUMIFS('Thuong ngay'!$E$5:$E$404,'Thuong ngay'!$B$5:$B$404,$A40,'Thuong ngay'!$G$5:$G$404,$B$4))</f>
        <v/>
      </c>
      <c r="C40" s="7">
        <f>IF($A40="","",SUMIFS('Thuong tuan-thang'!$K$5:$K$304,'Thuong tuan-thang'!$D$5:$D$304,$A40,'Thuong tuan-thang'!$C$5:$C$304,$B$4))</f>
        <v/>
      </c>
      <c r="D40" s="7">
        <f>IF($A40="","",B40+C40)</f>
        <v/>
      </c>
      <c r="E40" s="7">
        <f>IF($A40="","",SUMIFS('Nhat ky phat'!$E$5:$E$504,'Nhat ky phat'!$B$5:$B$504,$A40,'Nhat ky phat'!$H$5:$H$504,$B$4))</f>
        <v/>
      </c>
      <c r="F40" s="8">
        <f>IF($A40="","",COUNTIFS('Nhat ky phat'!$B$5:$B$504,$A40,'Nhat ky phat'!$H$5:$H$504,$B$4))</f>
        <v/>
      </c>
      <c r="G40" s="9">
        <f>IF($A40="","",D40-E40)</f>
        <v/>
      </c>
    </row>
    <row r="41">
      <c r="A41" s="6">
        <f>IF('Danh sach sale'!A39="","",'Danh sach sale'!A39)</f>
        <v/>
      </c>
      <c r="B41" s="7">
        <f>IF($A41="","",SUMIFS('Thuong ngay'!$E$5:$E$404,'Thuong ngay'!$B$5:$B$404,$A41,'Thuong ngay'!$G$5:$G$404,$B$4))</f>
        <v/>
      </c>
      <c r="C41" s="7">
        <f>IF($A41="","",SUMIFS('Thuong tuan-thang'!$K$5:$K$304,'Thuong tuan-thang'!$D$5:$D$304,$A41,'Thuong tuan-thang'!$C$5:$C$304,$B$4))</f>
        <v/>
      </c>
      <c r="D41" s="7">
        <f>IF($A41="","",B41+C41)</f>
        <v/>
      </c>
      <c r="E41" s="7">
        <f>IF($A41="","",SUMIFS('Nhat ky phat'!$E$5:$E$504,'Nhat ky phat'!$B$5:$B$504,$A41,'Nhat ky phat'!$H$5:$H$504,$B$4))</f>
        <v/>
      </c>
      <c r="F41" s="8">
        <f>IF($A41="","",COUNTIFS('Nhat ky phat'!$B$5:$B$504,$A41,'Nhat ky phat'!$H$5:$H$504,$B$4))</f>
        <v/>
      </c>
      <c r="G41" s="9">
        <f>IF($A41="","",D41-E41)</f>
        <v/>
      </c>
    </row>
    <row r="42">
      <c r="A42" s="6">
        <f>IF('Danh sach sale'!A40="","",'Danh sach sale'!A40)</f>
        <v/>
      </c>
      <c r="B42" s="7">
        <f>IF($A42="","",SUMIFS('Thuong ngay'!$E$5:$E$404,'Thuong ngay'!$B$5:$B$404,$A42,'Thuong ngay'!$G$5:$G$404,$B$4))</f>
        <v/>
      </c>
      <c r="C42" s="7">
        <f>IF($A42="","",SUMIFS('Thuong tuan-thang'!$K$5:$K$304,'Thuong tuan-thang'!$D$5:$D$304,$A42,'Thuong tuan-thang'!$C$5:$C$304,$B$4))</f>
        <v/>
      </c>
      <c r="D42" s="7">
        <f>IF($A42="","",B42+C42)</f>
        <v/>
      </c>
      <c r="E42" s="7">
        <f>IF($A42="","",SUMIFS('Nhat ky phat'!$E$5:$E$504,'Nhat ky phat'!$B$5:$B$504,$A42,'Nhat ky phat'!$H$5:$H$504,$B$4))</f>
        <v/>
      </c>
      <c r="F42" s="8">
        <f>IF($A42="","",COUNTIFS('Nhat ky phat'!$B$5:$B$504,$A42,'Nhat ky phat'!$H$5:$H$504,$B$4))</f>
        <v/>
      </c>
      <c r="G42" s="9">
        <f>IF($A42="","",D42-E42)</f>
        <v/>
      </c>
    </row>
    <row r="43">
      <c r="A43" s="6">
        <f>IF('Danh sach sale'!A41="","",'Danh sach sale'!A41)</f>
        <v/>
      </c>
      <c r="B43" s="7">
        <f>IF($A43="","",SUMIFS('Thuong ngay'!$E$5:$E$404,'Thuong ngay'!$B$5:$B$404,$A43,'Thuong ngay'!$G$5:$G$404,$B$4))</f>
        <v/>
      </c>
      <c r="C43" s="7">
        <f>IF($A43="","",SUMIFS('Thuong tuan-thang'!$K$5:$K$304,'Thuong tuan-thang'!$D$5:$D$304,$A43,'Thuong tuan-thang'!$C$5:$C$304,$B$4))</f>
        <v/>
      </c>
      <c r="D43" s="7">
        <f>IF($A43="","",B43+C43)</f>
        <v/>
      </c>
      <c r="E43" s="7">
        <f>IF($A43="","",SUMIFS('Nhat ky phat'!$E$5:$E$504,'Nhat ky phat'!$B$5:$B$504,$A43,'Nhat ky phat'!$H$5:$H$504,$B$4))</f>
        <v/>
      </c>
      <c r="F43" s="8">
        <f>IF($A43="","",COUNTIFS('Nhat ky phat'!$B$5:$B$504,$A43,'Nhat ky phat'!$H$5:$H$504,$B$4))</f>
        <v/>
      </c>
      <c r="G43" s="9">
        <f>IF($A43="","",D43-E43)</f>
        <v/>
      </c>
    </row>
    <row r="44">
      <c r="A44" s="6">
        <f>IF('Danh sach sale'!A42="","",'Danh sach sale'!A42)</f>
        <v/>
      </c>
      <c r="B44" s="7">
        <f>IF($A44="","",SUMIFS('Thuong ngay'!$E$5:$E$404,'Thuong ngay'!$B$5:$B$404,$A44,'Thuong ngay'!$G$5:$G$404,$B$4))</f>
        <v/>
      </c>
      <c r="C44" s="7">
        <f>IF($A44="","",SUMIFS('Thuong tuan-thang'!$K$5:$K$304,'Thuong tuan-thang'!$D$5:$D$304,$A44,'Thuong tuan-thang'!$C$5:$C$304,$B$4))</f>
        <v/>
      </c>
      <c r="D44" s="7">
        <f>IF($A44="","",B44+C44)</f>
        <v/>
      </c>
      <c r="E44" s="7">
        <f>IF($A44="","",SUMIFS('Nhat ky phat'!$E$5:$E$504,'Nhat ky phat'!$B$5:$B$504,$A44,'Nhat ky phat'!$H$5:$H$504,$B$4))</f>
        <v/>
      </c>
      <c r="F44" s="8">
        <f>IF($A44="","",COUNTIFS('Nhat ky phat'!$B$5:$B$504,$A44,'Nhat ky phat'!$H$5:$H$504,$B$4))</f>
        <v/>
      </c>
      <c r="G44" s="9">
        <f>IF($A44="","",D44-E44)</f>
        <v/>
      </c>
    </row>
    <row r="45">
      <c r="A45" s="6">
        <f>IF('Danh sach sale'!A43="","",'Danh sach sale'!A43)</f>
        <v/>
      </c>
      <c r="B45" s="7">
        <f>IF($A45="","",SUMIFS('Thuong ngay'!$E$5:$E$404,'Thuong ngay'!$B$5:$B$404,$A45,'Thuong ngay'!$G$5:$G$404,$B$4))</f>
        <v/>
      </c>
      <c r="C45" s="7">
        <f>IF($A45="","",SUMIFS('Thuong tuan-thang'!$K$5:$K$304,'Thuong tuan-thang'!$D$5:$D$304,$A45,'Thuong tuan-thang'!$C$5:$C$304,$B$4))</f>
        <v/>
      </c>
      <c r="D45" s="7">
        <f>IF($A45="","",B45+C45)</f>
        <v/>
      </c>
      <c r="E45" s="7">
        <f>IF($A45="","",SUMIFS('Nhat ky phat'!$E$5:$E$504,'Nhat ky phat'!$B$5:$B$504,$A45,'Nhat ky phat'!$H$5:$H$504,$B$4))</f>
        <v/>
      </c>
      <c r="F45" s="8">
        <f>IF($A45="","",COUNTIFS('Nhat ky phat'!$B$5:$B$504,$A45,'Nhat ky phat'!$H$5:$H$504,$B$4))</f>
        <v/>
      </c>
      <c r="G45" s="9">
        <f>IF($A45="","",D45-E45)</f>
        <v/>
      </c>
    </row>
    <row r="46">
      <c r="A46" s="6">
        <f>IF('Danh sach sale'!A44="","",'Danh sach sale'!A44)</f>
        <v/>
      </c>
      <c r="B46" s="7">
        <f>IF($A46="","",SUMIFS('Thuong ngay'!$E$5:$E$404,'Thuong ngay'!$B$5:$B$404,$A46,'Thuong ngay'!$G$5:$G$404,$B$4))</f>
        <v/>
      </c>
      <c r="C46" s="7">
        <f>IF($A46="","",SUMIFS('Thuong tuan-thang'!$K$5:$K$304,'Thuong tuan-thang'!$D$5:$D$304,$A46,'Thuong tuan-thang'!$C$5:$C$304,$B$4))</f>
        <v/>
      </c>
      <c r="D46" s="7">
        <f>IF($A46="","",B46+C46)</f>
        <v/>
      </c>
      <c r="E46" s="7">
        <f>IF($A46="","",SUMIFS('Nhat ky phat'!$E$5:$E$504,'Nhat ky phat'!$B$5:$B$504,$A46,'Nhat ky phat'!$H$5:$H$504,$B$4))</f>
        <v/>
      </c>
      <c r="F46" s="8">
        <f>IF($A46="","",COUNTIFS('Nhat ky phat'!$B$5:$B$504,$A46,'Nhat ky phat'!$H$5:$H$504,$B$4))</f>
        <v/>
      </c>
      <c r="G46" s="9">
        <f>IF($A46="","",D46-E46)</f>
        <v/>
      </c>
    </row>
    <row r="47">
      <c r="A47" s="3" t="inlineStr">
        <is>
          <t>TỔNG</t>
        </is>
      </c>
      <c r="B47" s="10">
        <f>SUM(B7:B46)</f>
        <v/>
      </c>
      <c r="C47" s="10">
        <f>SUM(C7:C46)</f>
        <v/>
      </c>
      <c r="D47" s="10">
        <f>SUM(D7:D46)</f>
        <v/>
      </c>
      <c r="E47" s="10">
        <f>SUM(E7:E46)</f>
        <v/>
      </c>
      <c r="F47" s="11">
        <f>SUM(F7:F46)</f>
        <v/>
      </c>
      <c r="G47" s="10">
        <f>SUM(G7:G46)</f>
        <v/>
      </c>
    </row>
    <row r="49">
      <c r="A49" s="12" t="inlineStr">
        <is>
          <t>Ghi chú: "Thuong ngay" chỉ tính dòng có sale + số đơn ≥ mức tối thiểu; "Thuong tuan-thang" chỉ tính dòng gõ "x" và đủ điều kiện tương tác. Nhật ký phạt cộng theo tháng của ngày vi phạm.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88" customWidth="1" min="2" max="2"/>
    <col width="18" customWidth="1" min="3" max="3"/>
  </cols>
  <sheetData>
    <row r="1">
      <c r="A1" s="1" t="inlineStr">
        <is>
          <t>QUY ĐỊNH THƯỞNG PHẠT — ĐỘI SALE ONLINE + VĂN PHÒNG (phòng kinh doanh)</t>
        </is>
      </c>
    </row>
    <row r="2">
      <c r="A2" s="2" t="inlineStr">
        <is>
          <t>Riêng, KHÔNG cộng vào các chương trình thưởng của công ty. Ô nền vàng = ô để sửa; các sheet khác tự lấy số tiền từ đây.</t>
        </is>
      </c>
    </row>
    <row r="4">
      <c r="A4" s="13" t="inlineStr">
        <is>
          <t>THƯỞNG</t>
        </is>
      </c>
    </row>
    <row r="5">
      <c r="A5" s="14" t="inlineStr">
        <is>
          <t>Số đơn tối thiểu để được thưởng ngày (đơn)</t>
        </is>
      </c>
      <c r="B5" s="15" t="n">
        <v>6</v>
      </c>
    </row>
    <row r="6">
      <c r="A6" s="14" t="inlineStr">
        <is>
          <t>Thưởng sale nhiều đơn nhất trong ngày (đ)</t>
        </is>
      </c>
      <c r="B6" s="15" t="n">
        <v>50000</v>
      </c>
    </row>
    <row r="7">
      <c r="A7" s="14" t="inlineStr">
        <is>
          <t>Thưởng top tỷ lệ chốt cao nhất TUẦN (đ)</t>
        </is>
      </c>
      <c r="B7" s="15" t="n">
        <v>50000</v>
      </c>
    </row>
    <row r="8">
      <c r="A8" s="14" t="inlineStr">
        <is>
          <t>Thưởng top tỷ lệ chốt cao nhất THÁNG (đ)</t>
        </is>
      </c>
      <c r="B8" s="15" t="n">
        <v>100000</v>
      </c>
    </row>
    <row r="9">
      <c r="A9" s="12" t="inlineStr">
        <is>
          <t>Đơn tính thưởng = ĐƠN GỐC BASE (theo ngày tạo), không tính theo Pos. Không tính đơn đổi trả, bảo hành, thay dây, huỷ/hoàn.</t>
        </is>
      </c>
    </row>
    <row r="10">
      <c r="A10" s="12" t="inlineStr">
        <is>
          <t>Thưởng tuần/tháng: chỉ xét sale có số tương tác trong kỳ ≥ tương tác trung bình của đội. Tỷ lệ chốt = đơn Base ÷ tương tác Pancake. Số đơn tính theo NGƯỜI TẠO ĐƠN (không chia theo Sale bán).</t>
        </is>
      </c>
    </row>
    <row r="12">
      <c r="A12" s="13" t="inlineStr">
        <is>
          <t>PHẠT</t>
        </is>
      </c>
    </row>
    <row r="13">
      <c r="A13" s="16" t="inlineStr">
        <is>
          <t>Mã lỗi</t>
        </is>
      </c>
      <c r="B13" s="16" t="inlineStr">
        <is>
          <t>Nội dung vi phạm</t>
        </is>
      </c>
      <c r="C13" s="16" t="inlineStr">
        <is>
          <t>Số tiền phạt (đ)</t>
        </is>
      </c>
    </row>
    <row r="14" ht="30" customHeight="1">
      <c r="A14" s="17" t="n">
        <v>1</v>
      </c>
      <c r="B14" s="18" t="inlineStr">
        <is>
          <t>Tin trôi quá 30 phút không phản hồi (không phải tin nhảy từ Sale khác)</t>
        </is>
      </c>
      <c r="C14" s="15" t="n">
        <v>50000</v>
      </c>
    </row>
    <row r="15" ht="30" customHeight="1">
      <c r="A15" s="17" t="n">
        <v>2</v>
      </c>
      <c r="B15" s="18" t="inlineStr">
        <is>
          <t>Không gửi báo cáo đúng khung giờ (sáng trước 9h30, chiều 13h30, kết thúc ca, tối 20h nếu bật tin)</t>
        </is>
      </c>
      <c r="C15" s="15" t="n">
        <v>50000</v>
      </c>
    </row>
    <row r="16" ht="30" customHeight="1">
      <c r="A16" s="17" t="n">
        <v>3</v>
      </c>
      <c r="B16" s="18" t="inlineStr">
        <is>
          <t>Đã đọc nhưng không phản hồi</t>
        </is>
      </c>
      <c r="C16" s="15" t="n">
        <v>50000</v>
      </c>
    </row>
    <row r="17" ht="30" customHeight="1">
      <c r="A17" s="17" t="n">
        <v>4</v>
      </c>
      <c r="B17" s="18" t="inlineStr">
        <is>
          <t>Đơn gộp Sale bán chung trong 72 giờ: Sale lên đơn không chia doanh thu cho các Sale cùng tham gia</t>
        </is>
      </c>
      <c r="C17" s="15" t="n">
        <v>200000</v>
      </c>
    </row>
    <row r="18" ht="30" customHeight="1">
      <c r="A18" s="17" t="n">
        <v>5</v>
      </c>
      <c r="B18" s="18" t="inlineStr">
        <is>
          <t>Nhắn tin khai thác mong cầu trong 15 phút nhưng không gửi kèm từ 04 hình ảnh hoặc ghi âm</t>
        </is>
      </c>
      <c r="C18" s="15" t="n">
        <v>50000</v>
      </c>
    </row>
    <row r="20">
      <c r="A20" s="12" t="inlineStr">
        <is>
          <t>Chú thích màu: chữ xanh dương = số nhập tay / quy định · chữ đen = công thức tự tính · nền vàng = ô cần nhập.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DANH SÁCH SALE ĐỘI ONLINE + VĂN PHÒNG</t>
        </is>
      </c>
    </row>
    <row r="2">
      <c r="A2" s="2" t="inlineStr">
        <is>
          <t>Điền tên sale (đúng như trên CRM). Sheet "Tong hop thang" và danh sách chọn ở các sheet khác lấy từ đây.</t>
        </is>
      </c>
    </row>
    <row r="4" ht="30" customHeight="1">
      <c r="A4" s="5" t="inlineStr">
        <is>
          <t>Tên sale</t>
        </is>
      </c>
      <c r="B4" s="5" t="inlineStr">
        <is>
          <t>Nhóm</t>
        </is>
      </c>
    </row>
    <row r="5">
      <c r="A5" s="19" t="inlineStr">
        <is>
          <t>Sale A (ví dụ — thay bằng tên thật)</t>
        </is>
      </c>
      <c r="B5" s="19" t="inlineStr">
        <is>
          <t>Online</t>
        </is>
      </c>
    </row>
    <row r="6">
      <c r="A6" s="19" t="inlineStr">
        <is>
          <t>Sale B (ví dụ — thay bằng tên thật)</t>
        </is>
      </c>
      <c r="B6" s="19" t="inlineStr">
        <is>
          <t>Văn phòng</t>
        </is>
      </c>
    </row>
    <row r="7">
      <c r="A7" s="19" t="n"/>
      <c r="B7" s="19" t="n"/>
    </row>
    <row r="8">
      <c r="A8" s="19" t="n"/>
      <c r="B8" s="19" t="n"/>
    </row>
    <row r="9">
      <c r="A9" s="19" t="n"/>
      <c r="B9" s="19" t="n"/>
    </row>
    <row r="10">
      <c r="A10" s="19" t="n"/>
      <c r="B10" s="19" t="n"/>
    </row>
    <row r="11">
      <c r="A11" s="19" t="n"/>
      <c r="B11" s="19" t="n"/>
    </row>
    <row r="12">
      <c r="A12" s="19" t="n"/>
      <c r="B12" s="19" t="n"/>
    </row>
    <row r="13">
      <c r="A13" s="19" t="n"/>
      <c r="B13" s="19" t="n"/>
    </row>
    <row r="14">
      <c r="A14" s="19" t="n"/>
      <c r="B14" s="19" t="n"/>
    </row>
    <row r="15">
      <c r="A15" s="19" t="n"/>
      <c r="B15" s="19" t="n"/>
    </row>
    <row r="16">
      <c r="A16" s="19" t="n"/>
      <c r="B16" s="19" t="n"/>
    </row>
    <row r="17">
      <c r="A17" s="19" t="n"/>
      <c r="B17" s="19" t="n"/>
    </row>
    <row r="18">
      <c r="A18" s="19" t="n"/>
      <c r="B18" s="19" t="n"/>
    </row>
    <row r="19">
      <c r="A19" s="19" t="n"/>
      <c r="B19" s="19" t="n"/>
    </row>
    <row r="20">
      <c r="A20" s="19" t="n"/>
      <c r="B20" s="19" t="n"/>
    </row>
    <row r="21">
      <c r="A21" s="19" t="n"/>
      <c r="B21" s="19" t="n"/>
    </row>
    <row r="22">
      <c r="A22" s="19" t="n"/>
      <c r="B22" s="19" t="n"/>
    </row>
    <row r="23">
      <c r="A23" s="19" t="n"/>
      <c r="B23" s="19" t="n"/>
    </row>
    <row r="24">
      <c r="A24" s="19" t="n"/>
      <c r="B24" s="19" t="n"/>
    </row>
    <row r="25">
      <c r="A25" s="19" t="n"/>
      <c r="B25" s="19" t="n"/>
    </row>
    <row r="26">
      <c r="A26" s="19" t="n"/>
      <c r="B26" s="19" t="n"/>
    </row>
    <row r="27">
      <c r="A27" s="19" t="n"/>
      <c r="B27" s="19" t="n"/>
    </row>
    <row r="28">
      <c r="A28" s="19" t="n"/>
      <c r="B28" s="19" t="n"/>
    </row>
    <row r="29">
      <c r="A29" s="19" t="n"/>
      <c r="B29" s="19" t="n"/>
    </row>
    <row r="30">
      <c r="A30" s="19" t="n"/>
      <c r="B30" s="19" t="n"/>
    </row>
    <row r="31">
      <c r="A31" s="19" t="n"/>
      <c r="B31" s="19" t="n"/>
    </row>
    <row r="32">
      <c r="A32" s="19" t="n"/>
      <c r="B32" s="19" t="n"/>
    </row>
    <row r="33">
      <c r="A33" s="19" t="n"/>
      <c r="B33" s="19" t="n"/>
    </row>
    <row r="34">
      <c r="A34" s="19" t="n"/>
      <c r="B34" s="19" t="n"/>
    </row>
    <row r="35">
      <c r="A35" s="19" t="n"/>
      <c r="B35" s="19" t="n"/>
    </row>
    <row r="36">
      <c r="A36" s="19" t="n"/>
      <c r="B36" s="19" t="n"/>
    </row>
    <row r="37">
      <c r="A37" s="19" t="n"/>
      <c r="B37" s="19" t="n"/>
    </row>
    <row r="38">
      <c r="A38" s="19" t="n"/>
      <c r="B38" s="19" t="n"/>
    </row>
    <row r="39">
      <c r="A39" s="19" t="n"/>
      <c r="B39" s="19" t="n"/>
    </row>
    <row r="40">
      <c r="A40" s="19" t="n"/>
      <c r="B40" s="19" t="n"/>
    </row>
    <row r="41">
      <c r="A41" s="19" t="n"/>
      <c r="B41" s="19" t="n"/>
    </row>
    <row r="42">
      <c r="A42" s="19" t="n"/>
      <c r="B42" s="19" t="n"/>
    </row>
    <row r="43">
      <c r="A43" s="19" t="n"/>
      <c r="B43" s="19" t="n"/>
    </row>
    <row r="44">
      <c r="A44" s="19" t="n"/>
      <c r="B44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52" customWidth="1" min="4" max="4"/>
    <col width="16" customWidth="1" min="5" max="5"/>
    <col width="40" customWidth="1" min="6" max="6"/>
    <col width="16" customWidth="1" min="7" max="7"/>
    <col width="10" customWidth="1" min="8" max="8"/>
  </cols>
  <sheetData>
    <row r="1">
      <c r="A1" s="1" t="inlineStr">
        <is>
          <t>NHẬT KÝ PHẠT</t>
        </is>
      </c>
    </row>
    <row r="2">
      <c r="A2" s="2" t="inlineStr">
        <is>
          <t>Mỗi lần vi phạm ghi 1 dòng: Ngày · Sale · Mã lỗi (1-5). Số tiền tự lấy từ "Quy dinh" — muốn phạt khác mức mặc định thì gõ đè số vào cột "Số tiền".</t>
        </is>
      </c>
    </row>
    <row r="4" ht="30" customHeight="1">
      <c r="A4" s="5" t="inlineStr">
        <is>
          <t>Ngày vi phạm</t>
        </is>
      </c>
      <c r="B4" s="5" t="inlineStr">
        <is>
          <t>Sale</t>
        </is>
      </c>
      <c r="C4" s="5" t="inlineStr">
        <is>
          <t>Mã lỗi (1-5)</t>
        </is>
      </c>
      <c r="D4" s="5" t="inlineStr">
        <is>
          <t>Nội dung vi phạm</t>
        </is>
      </c>
      <c r="E4" s="5" t="inlineStr">
        <is>
          <t>Số tiền phạt (đ)</t>
        </is>
      </c>
      <c r="F4" s="5" t="inlineStr">
        <is>
          <t>Ghi chú (khách/tin nhắn…)</t>
        </is>
      </c>
      <c r="G4" s="5" t="inlineStr">
        <is>
          <t>Người ghi</t>
        </is>
      </c>
      <c r="H4" s="5" t="inlineStr">
        <is>
          <t>Tháng</t>
        </is>
      </c>
    </row>
    <row r="5">
      <c r="A5" s="20" t="n">
        <v>46300</v>
      </c>
      <c r="B5" s="21" t="inlineStr">
        <is>
          <t>Sale A (ví dụ — thay bằng tên thật)</t>
        </is>
      </c>
      <c r="C5" s="21" t="n">
        <v>4</v>
      </c>
      <c r="D5" s="18">
        <f>IF(C5="","",IFERROR(INDEX('Quy dinh'!$B$14:$B$18,MATCH(C5,'Quy dinh'!$A$14:$A$18,0)),"Mã lỗi không hợp lệ"))</f>
        <v/>
      </c>
      <c r="E5" s="7">
        <f>IF(C5="","",IFERROR(INDEX('Quy dinh'!$C$14:$C$18,MATCH(C5,'Quy dinh'!$A$14:$A$18,0)),0))</f>
        <v/>
      </c>
      <c r="F5" s="21" t="inlineStr">
        <is>
          <t>VÍ DỤ: xoá dòng này khi bắt đầu nhập thật</t>
        </is>
      </c>
      <c r="G5" s="21" t="inlineStr">
        <is>
          <t>Admin</t>
        </is>
      </c>
      <c r="H5" s="17">
        <f>IF(A5="","",TEXT(A5,"yyyy-mm"))</f>
        <v/>
      </c>
    </row>
    <row r="6">
      <c r="A6" s="22" t="n"/>
      <c r="B6" s="19" t="n"/>
      <c r="C6" s="19" t="n"/>
      <c r="D6" s="18">
        <f>IF(C6="","",IFERROR(INDEX('Quy dinh'!$B$14:$B$18,MATCH(C6,'Quy dinh'!$A$14:$A$18,0)),"Mã lỗi không hợp lệ"))</f>
        <v/>
      </c>
      <c r="E6" s="7">
        <f>IF(C6="","",IFERROR(INDEX('Quy dinh'!$C$14:$C$18,MATCH(C6,'Quy dinh'!$A$14:$A$18,0)),0))</f>
        <v/>
      </c>
      <c r="F6" s="19" t="n"/>
      <c r="G6" s="19" t="n"/>
      <c r="H6" s="17">
        <f>IF(A6="","",TEXT(A6,"yyyy-mm"))</f>
        <v/>
      </c>
    </row>
    <row r="7">
      <c r="A7" s="22" t="n"/>
      <c r="B7" s="19" t="n"/>
      <c r="C7" s="19" t="n"/>
      <c r="D7" s="18">
        <f>IF(C7="","",IFERROR(INDEX('Quy dinh'!$B$14:$B$18,MATCH(C7,'Quy dinh'!$A$14:$A$18,0)),"Mã lỗi không hợp lệ"))</f>
        <v/>
      </c>
      <c r="E7" s="7">
        <f>IF(C7="","",IFERROR(INDEX('Quy dinh'!$C$14:$C$18,MATCH(C7,'Quy dinh'!$A$14:$A$18,0)),0))</f>
        <v/>
      </c>
      <c r="F7" s="19" t="n"/>
      <c r="G7" s="19" t="n"/>
      <c r="H7" s="17">
        <f>IF(A7="","",TEXT(A7,"yyyy-mm"))</f>
        <v/>
      </c>
    </row>
    <row r="8">
      <c r="A8" s="22" t="n"/>
      <c r="B8" s="19" t="n"/>
      <c r="C8" s="19" t="n"/>
      <c r="D8" s="18">
        <f>IF(C8="","",IFERROR(INDEX('Quy dinh'!$B$14:$B$18,MATCH(C8,'Quy dinh'!$A$14:$A$18,0)),"Mã lỗi không hợp lệ"))</f>
        <v/>
      </c>
      <c r="E8" s="7">
        <f>IF(C8="","",IFERROR(INDEX('Quy dinh'!$C$14:$C$18,MATCH(C8,'Quy dinh'!$A$14:$A$18,0)),0))</f>
        <v/>
      </c>
      <c r="F8" s="19" t="n"/>
      <c r="G8" s="19" t="n"/>
      <c r="H8" s="17">
        <f>IF(A8="","",TEXT(A8,"yyyy-mm"))</f>
        <v/>
      </c>
    </row>
    <row r="9">
      <c r="A9" s="22" t="n"/>
      <c r="B9" s="19" t="n"/>
      <c r="C9" s="19" t="n"/>
      <c r="D9" s="18">
        <f>IF(C9="","",IFERROR(INDEX('Quy dinh'!$B$14:$B$18,MATCH(C9,'Quy dinh'!$A$14:$A$18,0)),"Mã lỗi không hợp lệ"))</f>
        <v/>
      </c>
      <c r="E9" s="7">
        <f>IF(C9="","",IFERROR(INDEX('Quy dinh'!$C$14:$C$18,MATCH(C9,'Quy dinh'!$A$14:$A$18,0)),0))</f>
        <v/>
      </c>
      <c r="F9" s="19" t="n"/>
      <c r="G9" s="19" t="n"/>
      <c r="H9" s="17">
        <f>IF(A9="","",TEXT(A9,"yyyy-mm"))</f>
        <v/>
      </c>
    </row>
    <row r="10">
      <c r="A10" s="22" t="n"/>
      <c r="B10" s="19" t="n"/>
      <c r="C10" s="19" t="n"/>
      <c r="D10" s="18">
        <f>IF(C10="","",IFERROR(INDEX('Quy dinh'!$B$14:$B$18,MATCH(C10,'Quy dinh'!$A$14:$A$18,0)),"Mã lỗi không hợp lệ"))</f>
        <v/>
      </c>
      <c r="E10" s="7">
        <f>IF(C10="","",IFERROR(INDEX('Quy dinh'!$C$14:$C$18,MATCH(C10,'Quy dinh'!$A$14:$A$18,0)),0))</f>
        <v/>
      </c>
      <c r="F10" s="19" t="n"/>
      <c r="G10" s="19" t="n"/>
      <c r="H10" s="17">
        <f>IF(A10="","",TEXT(A10,"yyyy-mm"))</f>
        <v/>
      </c>
    </row>
    <row r="11">
      <c r="A11" s="22" t="n"/>
      <c r="B11" s="19" t="n"/>
      <c r="C11" s="19" t="n"/>
      <c r="D11" s="18">
        <f>IF(C11="","",IFERROR(INDEX('Quy dinh'!$B$14:$B$18,MATCH(C11,'Quy dinh'!$A$14:$A$18,0)),"Mã lỗi không hợp lệ"))</f>
        <v/>
      </c>
      <c r="E11" s="7">
        <f>IF(C11="","",IFERROR(INDEX('Quy dinh'!$C$14:$C$18,MATCH(C11,'Quy dinh'!$A$14:$A$18,0)),0))</f>
        <v/>
      </c>
      <c r="F11" s="19" t="n"/>
      <c r="G11" s="19" t="n"/>
      <c r="H11" s="17">
        <f>IF(A11="","",TEXT(A11,"yyyy-mm"))</f>
        <v/>
      </c>
    </row>
    <row r="12">
      <c r="A12" s="22" t="n"/>
      <c r="B12" s="19" t="n"/>
      <c r="C12" s="19" t="n"/>
      <c r="D12" s="18">
        <f>IF(C12="","",IFERROR(INDEX('Quy dinh'!$B$14:$B$18,MATCH(C12,'Quy dinh'!$A$14:$A$18,0)),"Mã lỗi không hợp lệ"))</f>
        <v/>
      </c>
      <c r="E12" s="7">
        <f>IF(C12="","",IFERROR(INDEX('Quy dinh'!$C$14:$C$18,MATCH(C12,'Quy dinh'!$A$14:$A$18,0)),0))</f>
        <v/>
      </c>
      <c r="F12" s="19" t="n"/>
      <c r="G12" s="19" t="n"/>
      <c r="H12" s="17">
        <f>IF(A12="","",TEXT(A12,"yyyy-mm"))</f>
        <v/>
      </c>
    </row>
    <row r="13">
      <c r="A13" s="22" t="n"/>
      <c r="B13" s="19" t="n"/>
      <c r="C13" s="19" t="n"/>
      <c r="D13" s="18">
        <f>IF(C13="","",IFERROR(INDEX('Quy dinh'!$B$14:$B$18,MATCH(C13,'Quy dinh'!$A$14:$A$18,0)),"Mã lỗi không hợp lệ"))</f>
        <v/>
      </c>
      <c r="E13" s="7">
        <f>IF(C13="","",IFERROR(INDEX('Quy dinh'!$C$14:$C$18,MATCH(C13,'Quy dinh'!$A$14:$A$18,0)),0))</f>
        <v/>
      </c>
      <c r="F13" s="19" t="n"/>
      <c r="G13" s="19" t="n"/>
      <c r="H13" s="17">
        <f>IF(A13="","",TEXT(A13,"yyyy-mm"))</f>
        <v/>
      </c>
    </row>
    <row r="14">
      <c r="A14" s="22" t="n"/>
      <c r="B14" s="19" t="n"/>
      <c r="C14" s="19" t="n"/>
      <c r="D14" s="18">
        <f>IF(C14="","",IFERROR(INDEX('Quy dinh'!$B$14:$B$18,MATCH(C14,'Quy dinh'!$A$14:$A$18,0)),"Mã lỗi không hợp lệ"))</f>
        <v/>
      </c>
      <c r="E14" s="7">
        <f>IF(C14="","",IFERROR(INDEX('Quy dinh'!$C$14:$C$18,MATCH(C14,'Quy dinh'!$A$14:$A$18,0)),0))</f>
        <v/>
      </c>
      <c r="F14" s="19" t="n"/>
      <c r="G14" s="19" t="n"/>
      <c r="H14" s="17">
        <f>IF(A14="","",TEXT(A14,"yyyy-mm"))</f>
        <v/>
      </c>
    </row>
    <row r="15">
      <c r="A15" s="22" t="n"/>
      <c r="B15" s="19" t="n"/>
      <c r="C15" s="19" t="n"/>
      <c r="D15" s="18">
        <f>IF(C15="","",IFERROR(INDEX('Quy dinh'!$B$14:$B$18,MATCH(C15,'Quy dinh'!$A$14:$A$18,0)),"Mã lỗi không hợp lệ"))</f>
        <v/>
      </c>
      <c r="E15" s="7">
        <f>IF(C15="","",IFERROR(INDEX('Quy dinh'!$C$14:$C$18,MATCH(C15,'Quy dinh'!$A$14:$A$18,0)),0))</f>
        <v/>
      </c>
      <c r="F15" s="19" t="n"/>
      <c r="G15" s="19" t="n"/>
      <c r="H15" s="17">
        <f>IF(A15="","",TEXT(A15,"yyyy-mm"))</f>
        <v/>
      </c>
    </row>
    <row r="16">
      <c r="A16" s="22" t="n"/>
      <c r="B16" s="19" t="n"/>
      <c r="C16" s="19" t="n"/>
      <c r="D16" s="18">
        <f>IF(C16="","",IFERROR(INDEX('Quy dinh'!$B$14:$B$18,MATCH(C16,'Quy dinh'!$A$14:$A$18,0)),"Mã lỗi không hợp lệ"))</f>
        <v/>
      </c>
      <c r="E16" s="7">
        <f>IF(C16="","",IFERROR(INDEX('Quy dinh'!$C$14:$C$18,MATCH(C16,'Quy dinh'!$A$14:$A$18,0)),0))</f>
        <v/>
      </c>
      <c r="F16" s="19" t="n"/>
      <c r="G16" s="19" t="n"/>
      <c r="H16" s="17">
        <f>IF(A16="","",TEXT(A16,"yyyy-mm"))</f>
        <v/>
      </c>
    </row>
    <row r="17">
      <c r="A17" s="22" t="n"/>
      <c r="B17" s="19" t="n"/>
      <c r="C17" s="19" t="n"/>
      <c r="D17" s="18">
        <f>IF(C17="","",IFERROR(INDEX('Quy dinh'!$B$14:$B$18,MATCH(C17,'Quy dinh'!$A$14:$A$18,0)),"Mã lỗi không hợp lệ"))</f>
        <v/>
      </c>
      <c r="E17" s="7">
        <f>IF(C17="","",IFERROR(INDEX('Quy dinh'!$C$14:$C$18,MATCH(C17,'Quy dinh'!$A$14:$A$18,0)),0))</f>
        <v/>
      </c>
      <c r="F17" s="19" t="n"/>
      <c r="G17" s="19" t="n"/>
      <c r="H17" s="17">
        <f>IF(A17="","",TEXT(A17,"yyyy-mm"))</f>
        <v/>
      </c>
    </row>
    <row r="18">
      <c r="A18" s="22" t="n"/>
      <c r="B18" s="19" t="n"/>
      <c r="C18" s="19" t="n"/>
      <c r="D18" s="18">
        <f>IF(C18="","",IFERROR(INDEX('Quy dinh'!$B$14:$B$18,MATCH(C18,'Quy dinh'!$A$14:$A$18,0)),"Mã lỗi không hợp lệ"))</f>
        <v/>
      </c>
      <c r="E18" s="7">
        <f>IF(C18="","",IFERROR(INDEX('Quy dinh'!$C$14:$C$18,MATCH(C18,'Quy dinh'!$A$14:$A$18,0)),0))</f>
        <v/>
      </c>
      <c r="F18" s="19" t="n"/>
      <c r="G18" s="19" t="n"/>
      <c r="H18" s="17">
        <f>IF(A18="","",TEXT(A18,"yyyy-mm"))</f>
        <v/>
      </c>
    </row>
    <row r="19">
      <c r="A19" s="22" t="n"/>
      <c r="B19" s="19" t="n"/>
      <c r="C19" s="19" t="n"/>
      <c r="D19" s="18">
        <f>IF(C19="","",IFERROR(INDEX('Quy dinh'!$B$14:$B$18,MATCH(C19,'Quy dinh'!$A$14:$A$18,0)),"Mã lỗi không hợp lệ"))</f>
        <v/>
      </c>
      <c r="E19" s="7">
        <f>IF(C19="","",IFERROR(INDEX('Quy dinh'!$C$14:$C$18,MATCH(C19,'Quy dinh'!$A$14:$A$18,0)),0))</f>
        <v/>
      </c>
      <c r="F19" s="19" t="n"/>
      <c r="G19" s="19" t="n"/>
      <c r="H19" s="17">
        <f>IF(A19="","",TEXT(A19,"yyyy-mm"))</f>
        <v/>
      </c>
    </row>
    <row r="20">
      <c r="A20" s="22" t="n"/>
      <c r="B20" s="19" t="n"/>
      <c r="C20" s="19" t="n"/>
      <c r="D20" s="18">
        <f>IF(C20="","",IFERROR(INDEX('Quy dinh'!$B$14:$B$18,MATCH(C20,'Quy dinh'!$A$14:$A$18,0)),"Mã lỗi không hợp lệ"))</f>
        <v/>
      </c>
      <c r="E20" s="7">
        <f>IF(C20="","",IFERROR(INDEX('Quy dinh'!$C$14:$C$18,MATCH(C20,'Quy dinh'!$A$14:$A$18,0)),0))</f>
        <v/>
      </c>
      <c r="F20" s="19" t="n"/>
      <c r="G20" s="19" t="n"/>
      <c r="H20" s="17">
        <f>IF(A20="","",TEXT(A20,"yyyy-mm"))</f>
        <v/>
      </c>
    </row>
    <row r="21">
      <c r="A21" s="22" t="n"/>
      <c r="B21" s="19" t="n"/>
      <c r="C21" s="19" t="n"/>
      <c r="D21" s="18">
        <f>IF(C21="","",IFERROR(INDEX('Quy dinh'!$B$14:$B$18,MATCH(C21,'Quy dinh'!$A$14:$A$18,0)),"Mã lỗi không hợp lệ"))</f>
        <v/>
      </c>
      <c r="E21" s="7">
        <f>IF(C21="","",IFERROR(INDEX('Quy dinh'!$C$14:$C$18,MATCH(C21,'Quy dinh'!$A$14:$A$18,0)),0))</f>
        <v/>
      </c>
      <c r="F21" s="19" t="n"/>
      <c r="G21" s="19" t="n"/>
      <c r="H21" s="17">
        <f>IF(A21="","",TEXT(A21,"yyyy-mm"))</f>
        <v/>
      </c>
    </row>
    <row r="22">
      <c r="A22" s="22" t="n"/>
      <c r="B22" s="19" t="n"/>
      <c r="C22" s="19" t="n"/>
      <c r="D22" s="18">
        <f>IF(C22="","",IFERROR(INDEX('Quy dinh'!$B$14:$B$18,MATCH(C22,'Quy dinh'!$A$14:$A$18,0)),"Mã lỗi không hợp lệ"))</f>
        <v/>
      </c>
      <c r="E22" s="7">
        <f>IF(C22="","",IFERROR(INDEX('Quy dinh'!$C$14:$C$18,MATCH(C22,'Quy dinh'!$A$14:$A$18,0)),0))</f>
        <v/>
      </c>
      <c r="F22" s="19" t="n"/>
      <c r="G22" s="19" t="n"/>
      <c r="H22" s="17">
        <f>IF(A22="","",TEXT(A22,"yyyy-mm"))</f>
        <v/>
      </c>
    </row>
    <row r="23">
      <c r="A23" s="22" t="n"/>
      <c r="B23" s="19" t="n"/>
      <c r="C23" s="19" t="n"/>
      <c r="D23" s="18">
        <f>IF(C23="","",IFERROR(INDEX('Quy dinh'!$B$14:$B$18,MATCH(C23,'Quy dinh'!$A$14:$A$18,0)),"Mã lỗi không hợp lệ"))</f>
        <v/>
      </c>
      <c r="E23" s="7">
        <f>IF(C23="","",IFERROR(INDEX('Quy dinh'!$C$14:$C$18,MATCH(C23,'Quy dinh'!$A$14:$A$18,0)),0))</f>
        <v/>
      </c>
      <c r="F23" s="19" t="n"/>
      <c r="G23" s="19" t="n"/>
      <c r="H23" s="17">
        <f>IF(A23="","",TEXT(A23,"yyyy-mm"))</f>
        <v/>
      </c>
    </row>
    <row r="24">
      <c r="A24" s="22" t="n"/>
      <c r="B24" s="19" t="n"/>
      <c r="C24" s="19" t="n"/>
      <c r="D24" s="18">
        <f>IF(C24="","",IFERROR(INDEX('Quy dinh'!$B$14:$B$18,MATCH(C24,'Quy dinh'!$A$14:$A$18,0)),"Mã lỗi không hợp lệ"))</f>
        <v/>
      </c>
      <c r="E24" s="7">
        <f>IF(C24="","",IFERROR(INDEX('Quy dinh'!$C$14:$C$18,MATCH(C24,'Quy dinh'!$A$14:$A$18,0)),0))</f>
        <v/>
      </c>
      <c r="F24" s="19" t="n"/>
      <c r="G24" s="19" t="n"/>
      <c r="H24" s="17">
        <f>IF(A24="","",TEXT(A24,"yyyy-mm"))</f>
        <v/>
      </c>
    </row>
    <row r="25">
      <c r="A25" s="22" t="n"/>
      <c r="B25" s="19" t="n"/>
      <c r="C25" s="19" t="n"/>
      <c r="D25" s="18">
        <f>IF(C25="","",IFERROR(INDEX('Quy dinh'!$B$14:$B$18,MATCH(C25,'Quy dinh'!$A$14:$A$18,0)),"Mã lỗi không hợp lệ"))</f>
        <v/>
      </c>
      <c r="E25" s="7">
        <f>IF(C25="","",IFERROR(INDEX('Quy dinh'!$C$14:$C$18,MATCH(C25,'Quy dinh'!$A$14:$A$18,0)),0))</f>
        <v/>
      </c>
      <c r="F25" s="19" t="n"/>
      <c r="G25" s="19" t="n"/>
      <c r="H25" s="17">
        <f>IF(A25="","",TEXT(A25,"yyyy-mm"))</f>
        <v/>
      </c>
    </row>
    <row r="26">
      <c r="A26" s="22" t="n"/>
      <c r="B26" s="19" t="n"/>
      <c r="C26" s="19" t="n"/>
      <c r="D26" s="18">
        <f>IF(C26="","",IFERROR(INDEX('Quy dinh'!$B$14:$B$18,MATCH(C26,'Quy dinh'!$A$14:$A$18,0)),"Mã lỗi không hợp lệ"))</f>
        <v/>
      </c>
      <c r="E26" s="7">
        <f>IF(C26="","",IFERROR(INDEX('Quy dinh'!$C$14:$C$18,MATCH(C26,'Quy dinh'!$A$14:$A$18,0)),0))</f>
        <v/>
      </c>
      <c r="F26" s="19" t="n"/>
      <c r="G26" s="19" t="n"/>
      <c r="H26" s="17">
        <f>IF(A26="","",TEXT(A26,"yyyy-mm"))</f>
        <v/>
      </c>
    </row>
    <row r="27">
      <c r="A27" s="22" t="n"/>
      <c r="B27" s="19" t="n"/>
      <c r="C27" s="19" t="n"/>
      <c r="D27" s="18">
        <f>IF(C27="","",IFERROR(INDEX('Quy dinh'!$B$14:$B$18,MATCH(C27,'Quy dinh'!$A$14:$A$18,0)),"Mã lỗi không hợp lệ"))</f>
        <v/>
      </c>
      <c r="E27" s="7">
        <f>IF(C27="","",IFERROR(INDEX('Quy dinh'!$C$14:$C$18,MATCH(C27,'Quy dinh'!$A$14:$A$18,0)),0))</f>
        <v/>
      </c>
      <c r="F27" s="19" t="n"/>
      <c r="G27" s="19" t="n"/>
      <c r="H27" s="17">
        <f>IF(A27="","",TEXT(A27,"yyyy-mm"))</f>
        <v/>
      </c>
    </row>
    <row r="28">
      <c r="A28" s="22" t="n"/>
      <c r="B28" s="19" t="n"/>
      <c r="C28" s="19" t="n"/>
      <c r="D28" s="18">
        <f>IF(C28="","",IFERROR(INDEX('Quy dinh'!$B$14:$B$18,MATCH(C28,'Quy dinh'!$A$14:$A$18,0)),"Mã lỗi không hợp lệ"))</f>
        <v/>
      </c>
      <c r="E28" s="7">
        <f>IF(C28="","",IFERROR(INDEX('Quy dinh'!$C$14:$C$18,MATCH(C28,'Quy dinh'!$A$14:$A$18,0)),0))</f>
        <v/>
      </c>
      <c r="F28" s="19" t="n"/>
      <c r="G28" s="19" t="n"/>
      <c r="H28" s="17">
        <f>IF(A28="","",TEXT(A28,"yyyy-mm"))</f>
        <v/>
      </c>
    </row>
    <row r="29">
      <c r="A29" s="22" t="n"/>
      <c r="B29" s="19" t="n"/>
      <c r="C29" s="19" t="n"/>
      <c r="D29" s="18">
        <f>IF(C29="","",IFERROR(INDEX('Quy dinh'!$B$14:$B$18,MATCH(C29,'Quy dinh'!$A$14:$A$18,0)),"Mã lỗi không hợp lệ"))</f>
        <v/>
      </c>
      <c r="E29" s="7">
        <f>IF(C29="","",IFERROR(INDEX('Quy dinh'!$C$14:$C$18,MATCH(C29,'Quy dinh'!$A$14:$A$18,0)),0))</f>
        <v/>
      </c>
      <c r="F29" s="19" t="n"/>
      <c r="G29" s="19" t="n"/>
      <c r="H29" s="17">
        <f>IF(A29="","",TEXT(A29,"yyyy-mm"))</f>
        <v/>
      </c>
    </row>
    <row r="30">
      <c r="A30" s="22" t="n"/>
      <c r="B30" s="19" t="n"/>
      <c r="C30" s="19" t="n"/>
      <c r="D30" s="18">
        <f>IF(C30="","",IFERROR(INDEX('Quy dinh'!$B$14:$B$18,MATCH(C30,'Quy dinh'!$A$14:$A$18,0)),"Mã lỗi không hợp lệ"))</f>
        <v/>
      </c>
      <c r="E30" s="7">
        <f>IF(C30="","",IFERROR(INDEX('Quy dinh'!$C$14:$C$18,MATCH(C30,'Quy dinh'!$A$14:$A$18,0)),0))</f>
        <v/>
      </c>
      <c r="F30" s="19" t="n"/>
      <c r="G30" s="19" t="n"/>
      <c r="H30" s="17">
        <f>IF(A30="","",TEXT(A30,"yyyy-mm"))</f>
        <v/>
      </c>
    </row>
    <row r="31">
      <c r="A31" s="22" t="n"/>
      <c r="B31" s="19" t="n"/>
      <c r="C31" s="19" t="n"/>
      <c r="D31" s="18">
        <f>IF(C31="","",IFERROR(INDEX('Quy dinh'!$B$14:$B$18,MATCH(C31,'Quy dinh'!$A$14:$A$18,0)),"Mã lỗi không hợp lệ"))</f>
        <v/>
      </c>
      <c r="E31" s="7">
        <f>IF(C31="","",IFERROR(INDEX('Quy dinh'!$C$14:$C$18,MATCH(C31,'Quy dinh'!$A$14:$A$18,0)),0))</f>
        <v/>
      </c>
      <c r="F31" s="19" t="n"/>
      <c r="G31" s="19" t="n"/>
      <c r="H31" s="17">
        <f>IF(A31="","",TEXT(A31,"yyyy-mm"))</f>
        <v/>
      </c>
    </row>
    <row r="32">
      <c r="A32" s="22" t="n"/>
      <c r="B32" s="19" t="n"/>
      <c r="C32" s="19" t="n"/>
      <c r="D32" s="18">
        <f>IF(C32="","",IFERROR(INDEX('Quy dinh'!$B$14:$B$18,MATCH(C32,'Quy dinh'!$A$14:$A$18,0)),"Mã lỗi không hợp lệ"))</f>
        <v/>
      </c>
      <c r="E32" s="7">
        <f>IF(C32="","",IFERROR(INDEX('Quy dinh'!$C$14:$C$18,MATCH(C32,'Quy dinh'!$A$14:$A$18,0)),0))</f>
        <v/>
      </c>
      <c r="F32" s="19" t="n"/>
      <c r="G32" s="19" t="n"/>
      <c r="H32" s="17">
        <f>IF(A32="","",TEXT(A32,"yyyy-mm"))</f>
        <v/>
      </c>
    </row>
    <row r="33">
      <c r="A33" s="22" t="n"/>
      <c r="B33" s="19" t="n"/>
      <c r="C33" s="19" t="n"/>
      <c r="D33" s="18">
        <f>IF(C33="","",IFERROR(INDEX('Quy dinh'!$B$14:$B$18,MATCH(C33,'Quy dinh'!$A$14:$A$18,0)),"Mã lỗi không hợp lệ"))</f>
        <v/>
      </c>
      <c r="E33" s="7">
        <f>IF(C33="","",IFERROR(INDEX('Quy dinh'!$C$14:$C$18,MATCH(C33,'Quy dinh'!$A$14:$A$18,0)),0))</f>
        <v/>
      </c>
      <c r="F33" s="19" t="n"/>
      <c r="G33" s="19" t="n"/>
      <c r="H33" s="17">
        <f>IF(A33="","",TEXT(A33,"yyyy-mm"))</f>
        <v/>
      </c>
    </row>
    <row r="34">
      <c r="A34" s="22" t="n"/>
      <c r="B34" s="19" t="n"/>
      <c r="C34" s="19" t="n"/>
      <c r="D34" s="18">
        <f>IF(C34="","",IFERROR(INDEX('Quy dinh'!$B$14:$B$18,MATCH(C34,'Quy dinh'!$A$14:$A$18,0)),"Mã lỗi không hợp lệ"))</f>
        <v/>
      </c>
      <c r="E34" s="7">
        <f>IF(C34="","",IFERROR(INDEX('Quy dinh'!$C$14:$C$18,MATCH(C34,'Quy dinh'!$A$14:$A$18,0)),0))</f>
        <v/>
      </c>
      <c r="F34" s="19" t="n"/>
      <c r="G34" s="19" t="n"/>
      <c r="H34" s="17">
        <f>IF(A34="","",TEXT(A34,"yyyy-mm"))</f>
        <v/>
      </c>
    </row>
    <row r="35">
      <c r="A35" s="22" t="n"/>
      <c r="B35" s="19" t="n"/>
      <c r="C35" s="19" t="n"/>
      <c r="D35" s="18">
        <f>IF(C35="","",IFERROR(INDEX('Quy dinh'!$B$14:$B$18,MATCH(C35,'Quy dinh'!$A$14:$A$18,0)),"Mã lỗi không hợp lệ"))</f>
        <v/>
      </c>
      <c r="E35" s="7">
        <f>IF(C35="","",IFERROR(INDEX('Quy dinh'!$C$14:$C$18,MATCH(C35,'Quy dinh'!$A$14:$A$18,0)),0))</f>
        <v/>
      </c>
      <c r="F35" s="19" t="n"/>
      <c r="G35" s="19" t="n"/>
      <c r="H35" s="17">
        <f>IF(A35="","",TEXT(A35,"yyyy-mm"))</f>
        <v/>
      </c>
    </row>
    <row r="36">
      <c r="A36" s="22" t="n"/>
      <c r="B36" s="19" t="n"/>
      <c r="C36" s="19" t="n"/>
      <c r="D36" s="18">
        <f>IF(C36="","",IFERROR(INDEX('Quy dinh'!$B$14:$B$18,MATCH(C36,'Quy dinh'!$A$14:$A$18,0)),"Mã lỗi không hợp lệ"))</f>
        <v/>
      </c>
      <c r="E36" s="7">
        <f>IF(C36="","",IFERROR(INDEX('Quy dinh'!$C$14:$C$18,MATCH(C36,'Quy dinh'!$A$14:$A$18,0)),0))</f>
        <v/>
      </c>
      <c r="F36" s="19" t="n"/>
      <c r="G36" s="19" t="n"/>
      <c r="H36" s="17">
        <f>IF(A36="","",TEXT(A36,"yyyy-mm"))</f>
        <v/>
      </c>
    </row>
    <row r="37">
      <c r="A37" s="22" t="n"/>
      <c r="B37" s="19" t="n"/>
      <c r="C37" s="19" t="n"/>
      <c r="D37" s="18">
        <f>IF(C37="","",IFERROR(INDEX('Quy dinh'!$B$14:$B$18,MATCH(C37,'Quy dinh'!$A$14:$A$18,0)),"Mã lỗi không hợp lệ"))</f>
        <v/>
      </c>
      <c r="E37" s="7">
        <f>IF(C37="","",IFERROR(INDEX('Quy dinh'!$C$14:$C$18,MATCH(C37,'Quy dinh'!$A$14:$A$18,0)),0))</f>
        <v/>
      </c>
      <c r="F37" s="19" t="n"/>
      <c r="G37" s="19" t="n"/>
      <c r="H37" s="17">
        <f>IF(A37="","",TEXT(A37,"yyyy-mm"))</f>
        <v/>
      </c>
    </row>
    <row r="38">
      <c r="A38" s="22" t="n"/>
      <c r="B38" s="19" t="n"/>
      <c r="C38" s="19" t="n"/>
      <c r="D38" s="18">
        <f>IF(C38="","",IFERROR(INDEX('Quy dinh'!$B$14:$B$18,MATCH(C38,'Quy dinh'!$A$14:$A$18,0)),"Mã lỗi không hợp lệ"))</f>
        <v/>
      </c>
      <c r="E38" s="7">
        <f>IF(C38="","",IFERROR(INDEX('Quy dinh'!$C$14:$C$18,MATCH(C38,'Quy dinh'!$A$14:$A$18,0)),0))</f>
        <v/>
      </c>
      <c r="F38" s="19" t="n"/>
      <c r="G38" s="19" t="n"/>
      <c r="H38" s="17">
        <f>IF(A38="","",TEXT(A38,"yyyy-mm"))</f>
        <v/>
      </c>
    </row>
    <row r="39">
      <c r="A39" s="22" t="n"/>
      <c r="B39" s="19" t="n"/>
      <c r="C39" s="19" t="n"/>
      <c r="D39" s="18">
        <f>IF(C39="","",IFERROR(INDEX('Quy dinh'!$B$14:$B$18,MATCH(C39,'Quy dinh'!$A$14:$A$18,0)),"Mã lỗi không hợp lệ"))</f>
        <v/>
      </c>
      <c r="E39" s="7">
        <f>IF(C39="","",IFERROR(INDEX('Quy dinh'!$C$14:$C$18,MATCH(C39,'Quy dinh'!$A$14:$A$18,0)),0))</f>
        <v/>
      </c>
      <c r="F39" s="19" t="n"/>
      <c r="G39" s="19" t="n"/>
      <c r="H39" s="17">
        <f>IF(A39="","",TEXT(A39,"yyyy-mm"))</f>
        <v/>
      </c>
    </row>
    <row r="40">
      <c r="A40" s="22" t="n"/>
      <c r="B40" s="19" t="n"/>
      <c r="C40" s="19" t="n"/>
      <c r="D40" s="18">
        <f>IF(C40="","",IFERROR(INDEX('Quy dinh'!$B$14:$B$18,MATCH(C40,'Quy dinh'!$A$14:$A$18,0)),"Mã lỗi không hợp lệ"))</f>
        <v/>
      </c>
      <c r="E40" s="7">
        <f>IF(C40="","",IFERROR(INDEX('Quy dinh'!$C$14:$C$18,MATCH(C40,'Quy dinh'!$A$14:$A$18,0)),0))</f>
        <v/>
      </c>
      <c r="F40" s="19" t="n"/>
      <c r="G40" s="19" t="n"/>
      <c r="H40" s="17">
        <f>IF(A40="","",TEXT(A40,"yyyy-mm"))</f>
        <v/>
      </c>
    </row>
    <row r="41">
      <c r="A41" s="22" t="n"/>
      <c r="B41" s="19" t="n"/>
      <c r="C41" s="19" t="n"/>
      <c r="D41" s="18">
        <f>IF(C41="","",IFERROR(INDEX('Quy dinh'!$B$14:$B$18,MATCH(C41,'Quy dinh'!$A$14:$A$18,0)),"Mã lỗi không hợp lệ"))</f>
        <v/>
      </c>
      <c r="E41" s="7">
        <f>IF(C41="","",IFERROR(INDEX('Quy dinh'!$C$14:$C$18,MATCH(C41,'Quy dinh'!$A$14:$A$18,0)),0))</f>
        <v/>
      </c>
      <c r="F41" s="19" t="n"/>
      <c r="G41" s="19" t="n"/>
      <c r="H41" s="17">
        <f>IF(A41="","",TEXT(A41,"yyyy-mm"))</f>
        <v/>
      </c>
    </row>
    <row r="42">
      <c r="A42" s="22" t="n"/>
      <c r="B42" s="19" t="n"/>
      <c r="C42" s="19" t="n"/>
      <c r="D42" s="18">
        <f>IF(C42="","",IFERROR(INDEX('Quy dinh'!$B$14:$B$18,MATCH(C42,'Quy dinh'!$A$14:$A$18,0)),"Mã lỗi không hợp lệ"))</f>
        <v/>
      </c>
      <c r="E42" s="7">
        <f>IF(C42="","",IFERROR(INDEX('Quy dinh'!$C$14:$C$18,MATCH(C42,'Quy dinh'!$A$14:$A$18,0)),0))</f>
        <v/>
      </c>
      <c r="F42" s="19" t="n"/>
      <c r="G42" s="19" t="n"/>
      <c r="H42" s="17">
        <f>IF(A42="","",TEXT(A42,"yyyy-mm"))</f>
        <v/>
      </c>
    </row>
    <row r="43">
      <c r="A43" s="22" t="n"/>
      <c r="B43" s="19" t="n"/>
      <c r="C43" s="19" t="n"/>
      <c r="D43" s="18">
        <f>IF(C43="","",IFERROR(INDEX('Quy dinh'!$B$14:$B$18,MATCH(C43,'Quy dinh'!$A$14:$A$18,0)),"Mã lỗi không hợp lệ"))</f>
        <v/>
      </c>
      <c r="E43" s="7">
        <f>IF(C43="","",IFERROR(INDEX('Quy dinh'!$C$14:$C$18,MATCH(C43,'Quy dinh'!$A$14:$A$18,0)),0))</f>
        <v/>
      </c>
      <c r="F43" s="19" t="n"/>
      <c r="G43" s="19" t="n"/>
      <c r="H43" s="17">
        <f>IF(A43="","",TEXT(A43,"yyyy-mm"))</f>
        <v/>
      </c>
    </row>
    <row r="44">
      <c r="A44" s="22" t="n"/>
      <c r="B44" s="19" t="n"/>
      <c r="C44" s="19" t="n"/>
      <c r="D44" s="18">
        <f>IF(C44="","",IFERROR(INDEX('Quy dinh'!$B$14:$B$18,MATCH(C44,'Quy dinh'!$A$14:$A$18,0)),"Mã lỗi không hợp lệ"))</f>
        <v/>
      </c>
      <c r="E44" s="7">
        <f>IF(C44="","",IFERROR(INDEX('Quy dinh'!$C$14:$C$18,MATCH(C44,'Quy dinh'!$A$14:$A$18,0)),0))</f>
        <v/>
      </c>
      <c r="F44" s="19" t="n"/>
      <c r="G44" s="19" t="n"/>
      <c r="H44" s="17">
        <f>IF(A44="","",TEXT(A44,"yyyy-mm"))</f>
        <v/>
      </c>
    </row>
    <row r="45">
      <c r="A45" s="22" t="n"/>
      <c r="B45" s="19" t="n"/>
      <c r="C45" s="19" t="n"/>
      <c r="D45" s="18">
        <f>IF(C45="","",IFERROR(INDEX('Quy dinh'!$B$14:$B$18,MATCH(C45,'Quy dinh'!$A$14:$A$18,0)),"Mã lỗi không hợp lệ"))</f>
        <v/>
      </c>
      <c r="E45" s="7">
        <f>IF(C45="","",IFERROR(INDEX('Quy dinh'!$C$14:$C$18,MATCH(C45,'Quy dinh'!$A$14:$A$18,0)),0))</f>
        <v/>
      </c>
      <c r="F45" s="19" t="n"/>
      <c r="G45" s="19" t="n"/>
      <c r="H45" s="17">
        <f>IF(A45="","",TEXT(A45,"yyyy-mm"))</f>
        <v/>
      </c>
    </row>
    <row r="46">
      <c r="A46" s="22" t="n"/>
      <c r="B46" s="19" t="n"/>
      <c r="C46" s="19" t="n"/>
      <c r="D46" s="18">
        <f>IF(C46="","",IFERROR(INDEX('Quy dinh'!$B$14:$B$18,MATCH(C46,'Quy dinh'!$A$14:$A$18,0)),"Mã lỗi không hợp lệ"))</f>
        <v/>
      </c>
      <c r="E46" s="7">
        <f>IF(C46="","",IFERROR(INDEX('Quy dinh'!$C$14:$C$18,MATCH(C46,'Quy dinh'!$A$14:$A$18,0)),0))</f>
        <v/>
      </c>
      <c r="F46" s="19" t="n"/>
      <c r="G46" s="19" t="n"/>
      <c r="H46" s="17">
        <f>IF(A46="","",TEXT(A46,"yyyy-mm"))</f>
        <v/>
      </c>
    </row>
    <row r="47">
      <c r="A47" s="22" t="n"/>
      <c r="B47" s="19" t="n"/>
      <c r="C47" s="19" t="n"/>
      <c r="D47" s="18">
        <f>IF(C47="","",IFERROR(INDEX('Quy dinh'!$B$14:$B$18,MATCH(C47,'Quy dinh'!$A$14:$A$18,0)),"Mã lỗi không hợp lệ"))</f>
        <v/>
      </c>
      <c r="E47" s="7">
        <f>IF(C47="","",IFERROR(INDEX('Quy dinh'!$C$14:$C$18,MATCH(C47,'Quy dinh'!$A$14:$A$18,0)),0))</f>
        <v/>
      </c>
      <c r="F47" s="19" t="n"/>
      <c r="G47" s="19" t="n"/>
      <c r="H47" s="17">
        <f>IF(A47="","",TEXT(A47,"yyyy-mm"))</f>
        <v/>
      </c>
    </row>
    <row r="48">
      <c r="A48" s="22" t="n"/>
      <c r="B48" s="19" t="n"/>
      <c r="C48" s="19" t="n"/>
      <c r="D48" s="18">
        <f>IF(C48="","",IFERROR(INDEX('Quy dinh'!$B$14:$B$18,MATCH(C48,'Quy dinh'!$A$14:$A$18,0)),"Mã lỗi không hợp lệ"))</f>
        <v/>
      </c>
      <c r="E48" s="7">
        <f>IF(C48="","",IFERROR(INDEX('Quy dinh'!$C$14:$C$18,MATCH(C48,'Quy dinh'!$A$14:$A$18,0)),0))</f>
        <v/>
      </c>
      <c r="F48" s="19" t="n"/>
      <c r="G48" s="19" t="n"/>
      <c r="H48" s="17">
        <f>IF(A48="","",TEXT(A48,"yyyy-mm"))</f>
        <v/>
      </c>
    </row>
    <row r="49">
      <c r="A49" s="22" t="n"/>
      <c r="B49" s="19" t="n"/>
      <c r="C49" s="19" t="n"/>
      <c r="D49" s="18">
        <f>IF(C49="","",IFERROR(INDEX('Quy dinh'!$B$14:$B$18,MATCH(C49,'Quy dinh'!$A$14:$A$18,0)),"Mã lỗi không hợp lệ"))</f>
        <v/>
      </c>
      <c r="E49" s="7">
        <f>IF(C49="","",IFERROR(INDEX('Quy dinh'!$C$14:$C$18,MATCH(C49,'Quy dinh'!$A$14:$A$18,0)),0))</f>
        <v/>
      </c>
      <c r="F49" s="19" t="n"/>
      <c r="G49" s="19" t="n"/>
      <c r="H49" s="17">
        <f>IF(A49="","",TEXT(A49,"yyyy-mm"))</f>
        <v/>
      </c>
    </row>
    <row r="50">
      <c r="A50" s="22" t="n"/>
      <c r="B50" s="19" t="n"/>
      <c r="C50" s="19" t="n"/>
      <c r="D50" s="18">
        <f>IF(C50="","",IFERROR(INDEX('Quy dinh'!$B$14:$B$18,MATCH(C50,'Quy dinh'!$A$14:$A$18,0)),"Mã lỗi không hợp lệ"))</f>
        <v/>
      </c>
      <c r="E50" s="7">
        <f>IF(C50="","",IFERROR(INDEX('Quy dinh'!$C$14:$C$18,MATCH(C50,'Quy dinh'!$A$14:$A$18,0)),0))</f>
        <v/>
      </c>
      <c r="F50" s="19" t="n"/>
      <c r="G50" s="19" t="n"/>
      <c r="H50" s="17">
        <f>IF(A50="","",TEXT(A50,"yyyy-mm"))</f>
        <v/>
      </c>
    </row>
    <row r="51">
      <c r="A51" s="22" t="n"/>
      <c r="B51" s="19" t="n"/>
      <c r="C51" s="19" t="n"/>
      <c r="D51" s="18">
        <f>IF(C51="","",IFERROR(INDEX('Quy dinh'!$B$14:$B$18,MATCH(C51,'Quy dinh'!$A$14:$A$18,0)),"Mã lỗi không hợp lệ"))</f>
        <v/>
      </c>
      <c r="E51" s="7">
        <f>IF(C51="","",IFERROR(INDEX('Quy dinh'!$C$14:$C$18,MATCH(C51,'Quy dinh'!$A$14:$A$18,0)),0))</f>
        <v/>
      </c>
      <c r="F51" s="19" t="n"/>
      <c r="G51" s="19" t="n"/>
      <c r="H51" s="17">
        <f>IF(A51="","",TEXT(A51,"yyyy-mm"))</f>
        <v/>
      </c>
    </row>
    <row r="52">
      <c r="A52" s="22" t="n"/>
      <c r="B52" s="19" t="n"/>
      <c r="C52" s="19" t="n"/>
      <c r="D52" s="18">
        <f>IF(C52="","",IFERROR(INDEX('Quy dinh'!$B$14:$B$18,MATCH(C52,'Quy dinh'!$A$14:$A$18,0)),"Mã lỗi không hợp lệ"))</f>
        <v/>
      </c>
      <c r="E52" s="7">
        <f>IF(C52="","",IFERROR(INDEX('Quy dinh'!$C$14:$C$18,MATCH(C52,'Quy dinh'!$A$14:$A$18,0)),0))</f>
        <v/>
      </c>
      <c r="F52" s="19" t="n"/>
      <c r="G52" s="19" t="n"/>
      <c r="H52" s="17">
        <f>IF(A52="","",TEXT(A52,"yyyy-mm"))</f>
        <v/>
      </c>
    </row>
    <row r="53">
      <c r="A53" s="22" t="n"/>
      <c r="B53" s="19" t="n"/>
      <c r="C53" s="19" t="n"/>
      <c r="D53" s="18">
        <f>IF(C53="","",IFERROR(INDEX('Quy dinh'!$B$14:$B$18,MATCH(C53,'Quy dinh'!$A$14:$A$18,0)),"Mã lỗi không hợp lệ"))</f>
        <v/>
      </c>
      <c r="E53" s="7">
        <f>IF(C53="","",IFERROR(INDEX('Quy dinh'!$C$14:$C$18,MATCH(C53,'Quy dinh'!$A$14:$A$18,0)),0))</f>
        <v/>
      </c>
      <c r="F53" s="19" t="n"/>
      <c r="G53" s="19" t="n"/>
      <c r="H53" s="17">
        <f>IF(A53="","",TEXT(A53,"yyyy-mm"))</f>
        <v/>
      </c>
    </row>
    <row r="54">
      <c r="A54" s="22" t="n"/>
      <c r="B54" s="19" t="n"/>
      <c r="C54" s="19" t="n"/>
      <c r="D54" s="18">
        <f>IF(C54="","",IFERROR(INDEX('Quy dinh'!$B$14:$B$18,MATCH(C54,'Quy dinh'!$A$14:$A$18,0)),"Mã lỗi không hợp lệ"))</f>
        <v/>
      </c>
      <c r="E54" s="7">
        <f>IF(C54="","",IFERROR(INDEX('Quy dinh'!$C$14:$C$18,MATCH(C54,'Quy dinh'!$A$14:$A$18,0)),0))</f>
        <v/>
      </c>
      <c r="F54" s="19" t="n"/>
      <c r="G54" s="19" t="n"/>
      <c r="H54" s="17">
        <f>IF(A54="","",TEXT(A54,"yyyy-mm"))</f>
        <v/>
      </c>
    </row>
    <row r="55">
      <c r="A55" s="22" t="n"/>
      <c r="B55" s="19" t="n"/>
      <c r="C55" s="19" t="n"/>
      <c r="D55" s="18">
        <f>IF(C55="","",IFERROR(INDEX('Quy dinh'!$B$14:$B$18,MATCH(C55,'Quy dinh'!$A$14:$A$18,0)),"Mã lỗi không hợp lệ"))</f>
        <v/>
      </c>
      <c r="E55" s="7">
        <f>IF(C55="","",IFERROR(INDEX('Quy dinh'!$C$14:$C$18,MATCH(C55,'Quy dinh'!$A$14:$A$18,0)),0))</f>
        <v/>
      </c>
      <c r="F55" s="19" t="n"/>
      <c r="G55" s="19" t="n"/>
      <c r="H55" s="17">
        <f>IF(A55="","",TEXT(A55,"yyyy-mm"))</f>
        <v/>
      </c>
    </row>
    <row r="56">
      <c r="A56" s="22" t="n"/>
      <c r="B56" s="19" t="n"/>
      <c r="C56" s="19" t="n"/>
      <c r="D56" s="18">
        <f>IF(C56="","",IFERROR(INDEX('Quy dinh'!$B$14:$B$18,MATCH(C56,'Quy dinh'!$A$14:$A$18,0)),"Mã lỗi không hợp lệ"))</f>
        <v/>
      </c>
      <c r="E56" s="7">
        <f>IF(C56="","",IFERROR(INDEX('Quy dinh'!$C$14:$C$18,MATCH(C56,'Quy dinh'!$A$14:$A$18,0)),0))</f>
        <v/>
      </c>
      <c r="F56" s="19" t="n"/>
      <c r="G56" s="19" t="n"/>
      <c r="H56" s="17">
        <f>IF(A56="","",TEXT(A56,"yyyy-mm"))</f>
        <v/>
      </c>
    </row>
    <row r="57">
      <c r="A57" s="22" t="n"/>
      <c r="B57" s="19" t="n"/>
      <c r="C57" s="19" t="n"/>
      <c r="D57" s="18">
        <f>IF(C57="","",IFERROR(INDEX('Quy dinh'!$B$14:$B$18,MATCH(C57,'Quy dinh'!$A$14:$A$18,0)),"Mã lỗi không hợp lệ"))</f>
        <v/>
      </c>
      <c r="E57" s="7">
        <f>IF(C57="","",IFERROR(INDEX('Quy dinh'!$C$14:$C$18,MATCH(C57,'Quy dinh'!$A$14:$A$18,0)),0))</f>
        <v/>
      </c>
      <c r="F57" s="19" t="n"/>
      <c r="G57" s="19" t="n"/>
      <c r="H57" s="17">
        <f>IF(A57="","",TEXT(A57,"yyyy-mm"))</f>
        <v/>
      </c>
    </row>
    <row r="58">
      <c r="A58" s="22" t="n"/>
      <c r="B58" s="19" t="n"/>
      <c r="C58" s="19" t="n"/>
      <c r="D58" s="18">
        <f>IF(C58="","",IFERROR(INDEX('Quy dinh'!$B$14:$B$18,MATCH(C58,'Quy dinh'!$A$14:$A$18,0)),"Mã lỗi không hợp lệ"))</f>
        <v/>
      </c>
      <c r="E58" s="7">
        <f>IF(C58="","",IFERROR(INDEX('Quy dinh'!$C$14:$C$18,MATCH(C58,'Quy dinh'!$A$14:$A$18,0)),0))</f>
        <v/>
      </c>
      <c r="F58" s="19" t="n"/>
      <c r="G58" s="19" t="n"/>
      <c r="H58" s="17">
        <f>IF(A58="","",TEXT(A58,"yyyy-mm"))</f>
        <v/>
      </c>
    </row>
    <row r="59">
      <c r="A59" s="22" t="n"/>
      <c r="B59" s="19" t="n"/>
      <c r="C59" s="19" t="n"/>
      <c r="D59" s="18">
        <f>IF(C59="","",IFERROR(INDEX('Quy dinh'!$B$14:$B$18,MATCH(C59,'Quy dinh'!$A$14:$A$18,0)),"Mã lỗi không hợp lệ"))</f>
        <v/>
      </c>
      <c r="E59" s="7">
        <f>IF(C59="","",IFERROR(INDEX('Quy dinh'!$C$14:$C$18,MATCH(C59,'Quy dinh'!$A$14:$A$18,0)),0))</f>
        <v/>
      </c>
      <c r="F59" s="19" t="n"/>
      <c r="G59" s="19" t="n"/>
      <c r="H59" s="17">
        <f>IF(A59="","",TEXT(A59,"yyyy-mm"))</f>
        <v/>
      </c>
    </row>
    <row r="60">
      <c r="A60" s="22" t="n"/>
      <c r="B60" s="19" t="n"/>
      <c r="C60" s="19" t="n"/>
      <c r="D60" s="18">
        <f>IF(C60="","",IFERROR(INDEX('Quy dinh'!$B$14:$B$18,MATCH(C60,'Quy dinh'!$A$14:$A$18,0)),"Mã lỗi không hợp lệ"))</f>
        <v/>
      </c>
      <c r="E60" s="7">
        <f>IF(C60="","",IFERROR(INDEX('Quy dinh'!$C$14:$C$18,MATCH(C60,'Quy dinh'!$A$14:$A$18,0)),0))</f>
        <v/>
      </c>
      <c r="F60" s="19" t="n"/>
      <c r="G60" s="19" t="n"/>
      <c r="H60" s="17">
        <f>IF(A60="","",TEXT(A60,"yyyy-mm"))</f>
        <v/>
      </c>
    </row>
    <row r="61">
      <c r="A61" s="22" t="n"/>
      <c r="B61" s="19" t="n"/>
      <c r="C61" s="19" t="n"/>
      <c r="D61" s="18">
        <f>IF(C61="","",IFERROR(INDEX('Quy dinh'!$B$14:$B$18,MATCH(C61,'Quy dinh'!$A$14:$A$18,0)),"Mã lỗi không hợp lệ"))</f>
        <v/>
      </c>
      <c r="E61" s="7">
        <f>IF(C61="","",IFERROR(INDEX('Quy dinh'!$C$14:$C$18,MATCH(C61,'Quy dinh'!$A$14:$A$18,0)),0))</f>
        <v/>
      </c>
      <c r="F61" s="19" t="n"/>
      <c r="G61" s="19" t="n"/>
      <c r="H61" s="17">
        <f>IF(A61="","",TEXT(A61,"yyyy-mm"))</f>
        <v/>
      </c>
    </row>
    <row r="62">
      <c r="A62" s="22" t="n"/>
      <c r="B62" s="19" t="n"/>
      <c r="C62" s="19" t="n"/>
      <c r="D62" s="18">
        <f>IF(C62="","",IFERROR(INDEX('Quy dinh'!$B$14:$B$18,MATCH(C62,'Quy dinh'!$A$14:$A$18,0)),"Mã lỗi không hợp lệ"))</f>
        <v/>
      </c>
      <c r="E62" s="7">
        <f>IF(C62="","",IFERROR(INDEX('Quy dinh'!$C$14:$C$18,MATCH(C62,'Quy dinh'!$A$14:$A$18,0)),0))</f>
        <v/>
      </c>
      <c r="F62" s="19" t="n"/>
      <c r="G62" s="19" t="n"/>
      <c r="H62" s="17">
        <f>IF(A62="","",TEXT(A62,"yyyy-mm"))</f>
        <v/>
      </c>
    </row>
    <row r="63">
      <c r="A63" s="22" t="n"/>
      <c r="B63" s="19" t="n"/>
      <c r="C63" s="19" t="n"/>
      <c r="D63" s="18">
        <f>IF(C63="","",IFERROR(INDEX('Quy dinh'!$B$14:$B$18,MATCH(C63,'Quy dinh'!$A$14:$A$18,0)),"Mã lỗi không hợp lệ"))</f>
        <v/>
      </c>
      <c r="E63" s="7">
        <f>IF(C63="","",IFERROR(INDEX('Quy dinh'!$C$14:$C$18,MATCH(C63,'Quy dinh'!$A$14:$A$18,0)),0))</f>
        <v/>
      </c>
      <c r="F63" s="19" t="n"/>
      <c r="G63" s="19" t="n"/>
      <c r="H63" s="17">
        <f>IF(A63="","",TEXT(A63,"yyyy-mm"))</f>
        <v/>
      </c>
    </row>
    <row r="64">
      <c r="A64" s="22" t="n"/>
      <c r="B64" s="19" t="n"/>
      <c r="C64" s="19" t="n"/>
      <c r="D64" s="18">
        <f>IF(C64="","",IFERROR(INDEX('Quy dinh'!$B$14:$B$18,MATCH(C64,'Quy dinh'!$A$14:$A$18,0)),"Mã lỗi không hợp lệ"))</f>
        <v/>
      </c>
      <c r="E64" s="7">
        <f>IF(C64="","",IFERROR(INDEX('Quy dinh'!$C$14:$C$18,MATCH(C64,'Quy dinh'!$A$14:$A$18,0)),0))</f>
        <v/>
      </c>
      <c r="F64" s="19" t="n"/>
      <c r="G64" s="19" t="n"/>
      <c r="H64" s="17">
        <f>IF(A64="","",TEXT(A64,"yyyy-mm"))</f>
        <v/>
      </c>
    </row>
    <row r="65">
      <c r="A65" s="22" t="n"/>
      <c r="B65" s="19" t="n"/>
      <c r="C65" s="19" t="n"/>
      <c r="D65" s="18">
        <f>IF(C65="","",IFERROR(INDEX('Quy dinh'!$B$14:$B$18,MATCH(C65,'Quy dinh'!$A$14:$A$18,0)),"Mã lỗi không hợp lệ"))</f>
        <v/>
      </c>
      <c r="E65" s="7">
        <f>IF(C65="","",IFERROR(INDEX('Quy dinh'!$C$14:$C$18,MATCH(C65,'Quy dinh'!$A$14:$A$18,0)),0))</f>
        <v/>
      </c>
      <c r="F65" s="19" t="n"/>
      <c r="G65" s="19" t="n"/>
      <c r="H65" s="17">
        <f>IF(A65="","",TEXT(A65,"yyyy-mm"))</f>
        <v/>
      </c>
    </row>
    <row r="66">
      <c r="A66" s="22" t="n"/>
      <c r="B66" s="19" t="n"/>
      <c r="C66" s="19" t="n"/>
      <c r="D66" s="18">
        <f>IF(C66="","",IFERROR(INDEX('Quy dinh'!$B$14:$B$18,MATCH(C66,'Quy dinh'!$A$14:$A$18,0)),"Mã lỗi không hợp lệ"))</f>
        <v/>
      </c>
      <c r="E66" s="7">
        <f>IF(C66="","",IFERROR(INDEX('Quy dinh'!$C$14:$C$18,MATCH(C66,'Quy dinh'!$A$14:$A$18,0)),0))</f>
        <v/>
      </c>
      <c r="F66" s="19" t="n"/>
      <c r="G66" s="19" t="n"/>
      <c r="H66" s="17">
        <f>IF(A66="","",TEXT(A66,"yyyy-mm"))</f>
        <v/>
      </c>
    </row>
    <row r="67">
      <c r="A67" s="22" t="n"/>
      <c r="B67" s="19" t="n"/>
      <c r="C67" s="19" t="n"/>
      <c r="D67" s="18">
        <f>IF(C67="","",IFERROR(INDEX('Quy dinh'!$B$14:$B$18,MATCH(C67,'Quy dinh'!$A$14:$A$18,0)),"Mã lỗi không hợp lệ"))</f>
        <v/>
      </c>
      <c r="E67" s="7">
        <f>IF(C67="","",IFERROR(INDEX('Quy dinh'!$C$14:$C$18,MATCH(C67,'Quy dinh'!$A$14:$A$18,0)),0))</f>
        <v/>
      </c>
      <c r="F67" s="19" t="n"/>
      <c r="G67" s="19" t="n"/>
      <c r="H67" s="17">
        <f>IF(A67="","",TEXT(A67,"yyyy-mm"))</f>
        <v/>
      </c>
    </row>
    <row r="68">
      <c r="A68" s="22" t="n"/>
      <c r="B68" s="19" t="n"/>
      <c r="C68" s="19" t="n"/>
      <c r="D68" s="18">
        <f>IF(C68="","",IFERROR(INDEX('Quy dinh'!$B$14:$B$18,MATCH(C68,'Quy dinh'!$A$14:$A$18,0)),"Mã lỗi không hợp lệ"))</f>
        <v/>
      </c>
      <c r="E68" s="7">
        <f>IF(C68="","",IFERROR(INDEX('Quy dinh'!$C$14:$C$18,MATCH(C68,'Quy dinh'!$A$14:$A$18,0)),0))</f>
        <v/>
      </c>
      <c r="F68" s="19" t="n"/>
      <c r="G68" s="19" t="n"/>
      <c r="H68" s="17">
        <f>IF(A68="","",TEXT(A68,"yyyy-mm"))</f>
        <v/>
      </c>
    </row>
    <row r="69">
      <c r="A69" s="22" t="n"/>
      <c r="B69" s="19" t="n"/>
      <c r="C69" s="19" t="n"/>
      <c r="D69" s="18">
        <f>IF(C69="","",IFERROR(INDEX('Quy dinh'!$B$14:$B$18,MATCH(C69,'Quy dinh'!$A$14:$A$18,0)),"Mã lỗi không hợp lệ"))</f>
        <v/>
      </c>
      <c r="E69" s="7">
        <f>IF(C69="","",IFERROR(INDEX('Quy dinh'!$C$14:$C$18,MATCH(C69,'Quy dinh'!$A$14:$A$18,0)),0))</f>
        <v/>
      </c>
      <c r="F69" s="19" t="n"/>
      <c r="G69" s="19" t="n"/>
      <c r="H69" s="17">
        <f>IF(A69="","",TEXT(A69,"yyyy-mm"))</f>
        <v/>
      </c>
    </row>
    <row r="70">
      <c r="A70" s="22" t="n"/>
      <c r="B70" s="19" t="n"/>
      <c r="C70" s="19" t="n"/>
      <c r="D70" s="18">
        <f>IF(C70="","",IFERROR(INDEX('Quy dinh'!$B$14:$B$18,MATCH(C70,'Quy dinh'!$A$14:$A$18,0)),"Mã lỗi không hợp lệ"))</f>
        <v/>
      </c>
      <c r="E70" s="7">
        <f>IF(C70="","",IFERROR(INDEX('Quy dinh'!$C$14:$C$18,MATCH(C70,'Quy dinh'!$A$14:$A$18,0)),0))</f>
        <v/>
      </c>
      <c r="F70" s="19" t="n"/>
      <c r="G70" s="19" t="n"/>
      <c r="H70" s="17">
        <f>IF(A70="","",TEXT(A70,"yyyy-mm"))</f>
        <v/>
      </c>
    </row>
    <row r="71">
      <c r="A71" s="22" t="n"/>
      <c r="B71" s="19" t="n"/>
      <c r="C71" s="19" t="n"/>
      <c r="D71" s="18">
        <f>IF(C71="","",IFERROR(INDEX('Quy dinh'!$B$14:$B$18,MATCH(C71,'Quy dinh'!$A$14:$A$18,0)),"Mã lỗi không hợp lệ"))</f>
        <v/>
      </c>
      <c r="E71" s="7">
        <f>IF(C71="","",IFERROR(INDEX('Quy dinh'!$C$14:$C$18,MATCH(C71,'Quy dinh'!$A$14:$A$18,0)),0))</f>
        <v/>
      </c>
      <c r="F71" s="19" t="n"/>
      <c r="G71" s="19" t="n"/>
      <c r="H71" s="17">
        <f>IF(A71="","",TEXT(A71,"yyyy-mm"))</f>
        <v/>
      </c>
    </row>
    <row r="72">
      <c r="A72" s="22" t="n"/>
      <c r="B72" s="19" t="n"/>
      <c r="C72" s="19" t="n"/>
      <c r="D72" s="18">
        <f>IF(C72="","",IFERROR(INDEX('Quy dinh'!$B$14:$B$18,MATCH(C72,'Quy dinh'!$A$14:$A$18,0)),"Mã lỗi không hợp lệ"))</f>
        <v/>
      </c>
      <c r="E72" s="7">
        <f>IF(C72="","",IFERROR(INDEX('Quy dinh'!$C$14:$C$18,MATCH(C72,'Quy dinh'!$A$14:$A$18,0)),0))</f>
        <v/>
      </c>
      <c r="F72" s="19" t="n"/>
      <c r="G72" s="19" t="n"/>
      <c r="H72" s="17">
        <f>IF(A72="","",TEXT(A72,"yyyy-mm"))</f>
        <v/>
      </c>
    </row>
    <row r="73">
      <c r="A73" s="22" t="n"/>
      <c r="B73" s="19" t="n"/>
      <c r="C73" s="19" t="n"/>
      <c r="D73" s="18">
        <f>IF(C73="","",IFERROR(INDEX('Quy dinh'!$B$14:$B$18,MATCH(C73,'Quy dinh'!$A$14:$A$18,0)),"Mã lỗi không hợp lệ"))</f>
        <v/>
      </c>
      <c r="E73" s="7">
        <f>IF(C73="","",IFERROR(INDEX('Quy dinh'!$C$14:$C$18,MATCH(C73,'Quy dinh'!$A$14:$A$18,0)),0))</f>
        <v/>
      </c>
      <c r="F73" s="19" t="n"/>
      <c r="G73" s="19" t="n"/>
      <c r="H73" s="17">
        <f>IF(A73="","",TEXT(A73,"yyyy-mm"))</f>
        <v/>
      </c>
    </row>
    <row r="74">
      <c r="A74" s="22" t="n"/>
      <c r="B74" s="19" t="n"/>
      <c r="C74" s="19" t="n"/>
      <c r="D74" s="18">
        <f>IF(C74="","",IFERROR(INDEX('Quy dinh'!$B$14:$B$18,MATCH(C74,'Quy dinh'!$A$14:$A$18,0)),"Mã lỗi không hợp lệ"))</f>
        <v/>
      </c>
      <c r="E74" s="7">
        <f>IF(C74="","",IFERROR(INDEX('Quy dinh'!$C$14:$C$18,MATCH(C74,'Quy dinh'!$A$14:$A$18,0)),0))</f>
        <v/>
      </c>
      <c r="F74" s="19" t="n"/>
      <c r="G74" s="19" t="n"/>
      <c r="H74" s="17">
        <f>IF(A74="","",TEXT(A74,"yyyy-mm"))</f>
        <v/>
      </c>
    </row>
    <row r="75">
      <c r="A75" s="22" t="n"/>
      <c r="B75" s="19" t="n"/>
      <c r="C75" s="19" t="n"/>
      <c r="D75" s="18">
        <f>IF(C75="","",IFERROR(INDEX('Quy dinh'!$B$14:$B$18,MATCH(C75,'Quy dinh'!$A$14:$A$18,0)),"Mã lỗi không hợp lệ"))</f>
        <v/>
      </c>
      <c r="E75" s="7">
        <f>IF(C75="","",IFERROR(INDEX('Quy dinh'!$C$14:$C$18,MATCH(C75,'Quy dinh'!$A$14:$A$18,0)),0))</f>
        <v/>
      </c>
      <c r="F75" s="19" t="n"/>
      <c r="G75" s="19" t="n"/>
      <c r="H75" s="17">
        <f>IF(A75="","",TEXT(A75,"yyyy-mm"))</f>
        <v/>
      </c>
    </row>
    <row r="76">
      <c r="A76" s="22" t="n"/>
      <c r="B76" s="19" t="n"/>
      <c r="C76" s="19" t="n"/>
      <c r="D76" s="18">
        <f>IF(C76="","",IFERROR(INDEX('Quy dinh'!$B$14:$B$18,MATCH(C76,'Quy dinh'!$A$14:$A$18,0)),"Mã lỗi không hợp lệ"))</f>
        <v/>
      </c>
      <c r="E76" s="7">
        <f>IF(C76="","",IFERROR(INDEX('Quy dinh'!$C$14:$C$18,MATCH(C76,'Quy dinh'!$A$14:$A$18,0)),0))</f>
        <v/>
      </c>
      <c r="F76" s="19" t="n"/>
      <c r="G76" s="19" t="n"/>
      <c r="H76" s="17">
        <f>IF(A76="","",TEXT(A76,"yyyy-mm"))</f>
        <v/>
      </c>
    </row>
    <row r="77">
      <c r="A77" s="22" t="n"/>
      <c r="B77" s="19" t="n"/>
      <c r="C77" s="19" t="n"/>
      <c r="D77" s="18">
        <f>IF(C77="","",IFERROR(INDEX('Quy dinh'!$B$14:$B$18,MATCH(C77,'Quy dinh'!$A$14:$A$18,0)),"Mã lỗi không hợp lệ"))</f>
        <v/>
      </c>
      <c r="E77" s="7">
        <f>IF(C77="","",IFERROR(INDEX('Quy dinh'!$C$14:$C$18,MATCH(C77,'Quy dinh'!$A$14:$A$18,0)),0))</f>
        <v/>
      </c>
      <c r="F77" s="19" t="n"/>
      <c r="G77" s="19" t="n"/>
      <c r="H77" s="17">
        <f>IF(A77="","",TEXT(A77,"yyyy-mm"))</f>
        <v/>
      </c>
    </row>
    <row r="78">
      <c r="A78" s="22" t="n"/>
      <c r="B78" s="19" t="n"/>
      <c r="C78" s="19" t="n"/>
      <c r="D78" s="18">
        <f>IF(C78="","",IFERROR(INDEX('Quy dinh'!$B$14:$B$18,MATCH(C78,'Quy dinh'!$A$14:$A$18,0)),"Mã lỗi không hợp lệ"))</f>
        <v/>
      </c>
      <c r="E78" s="7">
        <f>IF(C78="","",IFERROR(INDEX('Quy dinh'!$C$14:$C$18,MATCH(C78,'Quy dinh'!$A$14:$A$18,0)),0))</f>
        <v/>
      </c>
      <c r="F78" s="19" t="n"/>
      <c r="G78" s="19" t="n"/>
      <c r="H78" s="17">
        <f>IF(A78="","",TEXT(A78,"yyyy-mm"))</f>
        <v/>
      </c>
    </row>
    <row r="79">
      <c r="A79" s="22" t="n"/>
      <c r="B79" s="19" t="n"/>
      <c r="C79" s="19" t="n"/>
      <c r="D79" s="18">
        <f>IF(C79="","",IFERROR(INDEX('Quy dinh'!$B$14:$B$18,MATCH(C79,'Quy dinh'!$A$14:$A$18,0)),"Mã lỗi không hợp lệ"))</f>
        <v/>
      </c>
      <c r="E79" s="7">
        <f>IF(C79="","",IFERROR(INDEX('Quy dinh'!$C$14:$C$18,MATCH(C79,'Quy dinh'!$A$14:$A$18,0)),0))</f>
        <v/>
      </c>
      <c r="F79" s="19" t="n"/>
      <c r="G79" s="19" t="n"/>
      <c r="H79" s="17">
        <f>IF(A79="","",TEXT(A79,"yyyy-mm"))</f>
        <v/>
      </c>
    </row>
    <row r="80">
      <c r="A80" s="22" t="n"/>
      <c r="B80" s="19" t="n"/>
      <c r="C80" s="19" t="n"/>
      <c r="D80" s="18">
        <f>IF(C80="","",IFERROR(INDEX('Quy dinh'!$B$14:$B$18,MATCH(C80,'Quy dinh'!$A$14:$A$18,0)),"Mã lỗi không hợp lệ"))</f>
        <v/>
      </c>
      <c r="E80" s="7">
        <f>IF(C80="","",IFERROR(INDEX('Quy dinh'!$C$14:$C$18,MATCH(C80,'Quy dinh'!$A$14:$A$18,0)),0))</f>
        <v/>
      </c>
      <c r="F80" s="19" t="n"/>
      <c r="G80" s="19" t="n"/>
      <c r="H80" s="17">
        <f>IF(A80="","",TEXT(A80,"yyyy-mm"))</f>
        <v/>
      </c>
    </row>
    <row r="81">
      <c r="A81" s="22" t="n"/>
      <c r="B81" s="19" t="n"/>
      <c r="C81" s="19" t="n"/>
      <c r="D81" s="18">
        <f>IF(C81="","",IFERROR(INDEX('Quy dinh'!$B$14:$B$18,MATCH(C81,'Quy dinh'!$A$14:$A$18,0)),"Mã lỗi không hợp lệ"))</f>
        <v/>
      </c>
      <c r="E81" s="7">
        <f>IF(C81="","",IFERROR(INDEX('Quy dinh'!$C$14:$C$18,MATCH(C81,'Quy dinh'!$A$14:$A$18,0)),0))</f>
        <v/>
      </c>
      <c r="F81" s="19" t="n"/>
      <c r="G81" s="19" t="n"/>
      <c r="H81" s="17">
        <f>IF(A81="","",TEXT(A81,"yyyy-mm"))</f>
        <v/>
      </c>
    </row>
    <row r="82">
      <c r="A82" s="22" t="n"/>
      <c r="B82" s="19" t="n"/>
      <c r="C82" s="19" t="n"/>
      <c r="D82" s="18">
        <f>IF(C82="","",IFERROR(INDEX('Quy dinh'!$B$14:$B$18,MATCH(C82,'Quy dinh'!$A$14:$A$18,0)),"Mã lỗi không hợp lệ"))</f>
        <v/>
      </c>
      <c r="E82" s="7">
        <f>IF(C82="","",IFERROR(INDEX('Quy dinh'!$C$14:$C$18,MATCH(C82,'Quy dinh'!$A$14:$A$18,0)),0))</f>
        <v/>
      </c>
      <c r="F82" s="19" t="n"/>
      <c r="G82" s="19" t="n"/>
      <c r="H82" s="17">
        <f>IF(A82="","",TEXT(A82,"yyyy-mm"))</f>
        <v/>
      </c>
    </row>
    <row r="83">
      <c r="A83" s="22" t="n"/>
      <c r="B83" s="19" t="n"/>
      <c r="C83" s="19" t="n"/>
      <c r="D83" s="18">
        <f>IF(C83="","",IFERROR(INDEX('Quy dinh'!$B$14:$B$18,MATCH(C83,'Quy dinh'!$A$14:$A$18,0)),"Mã lỗi không hợp lệ"))</f>
        <v/>
      </c>
      <c r="E83" s="7">
        <f>IF(C83="","",IFERROR(INDEX('Quy dinh'!$C$14:$C$18,MATCH(C83,'Quy dinh'!$A$14:$A$18,0)),0))</f>
        <v/>
      </c>
      <c r="F83" s="19" t="n"/>
      <c r="G83" s="19" t="n"/>
      <c r="H83" s="17">
        <f>IF(A83="","",TEXT(A83,"yyyy-mm"))</f>
        <v/>
      </c>
    </row>
    <row r="84">
      <c r="A84" s="22" t="n"/>
      <c r="B84" s="19" t="n"/>
      <c r="C84" s="19" t="n"/>
      <c r="D84" s="18">
        <f>IF(C84="","",IFERROR(INDEX('Quy dinh'!$B$14:$B$18,MATCH(C84,'Quy dinh'!$A$14:$A$18,0)),"Mã lỗi không hợp lệ"))</f>
        <v/>
      </c>
      <c r="E84" s="7">
        <f>IF(C84="","",IFERROR(INDEX('Quy dinh'!$C$14:$C$18,MATCH(C84,'Quy dinh'!$A$14:$A$18,0)),0))</f>
        <v/>
      </c>
      <c r="F84" s="19" t="n"/>
      <c r="G84" s="19" t="n"/>
      <c r="H84" s="17">
        <f>IF(A84="","",TEXT(A84,"yyyy-mm"))</f>
        <v/>
      </c>
    </row>
    <row r="85">
      <c r="A85" s="22" t="n"/>
      <c r="B85" s="19" t="n"/>
      <c r="C85" s="19" t="n"/>
      <c r="D85" s="18">
        <f>IF(C85="","",IFERROR(INDEX('Quy dinh'!$B$14:$B$18,MATCH(C85,'Quy dinh'!$A$14:$A$18,0)),"Mã lỗi không hợp lệ"))</f>
        <v/>
      </c>
      <c r="E85" s="7">
        <f>IF(C85="","",IFERROR(INDEX('Quy dinh'!$C$14:$C$18,MATCH(C85,'Quy dinh'!$A$14:$A$18,0)),0))</f>
        <v/>
      </c>
      <c r="F85" s="19" t="n"/>
      <c r="G85" s="19" t="n"/>
      <c r="H85" s="17">
        <f>IF(A85="","",TEXT(A85,"yyyy-mm"))</f>
        <v/>
      </c>
    </row>
    <row r="86">
      <c r="A86" s="22" t="n"/>
      <c r="B86" s="19" t="n"/>
      <c r="C86" s="19" t="n"/>
      <c r="D86" s="18">
        <f>IF(C86="","",IFERROR(INDEX('Quy dinh'!$B$14:$B$18,MATCH(C86,'Quy dinh'!$A$14:$A$18,0)),"Mã lỗi không hợp lệ"))</f>
        <v/>
      </c>
      <c r="E86" s="7">
        <f>IF(C86="","",IFERROR(INDEX('Quy dinh'!$C$14:$C$18,MATCH(C86,'Quy dinh'!$A$14:$A$18,0)),0))</f>
        <v/>
      </c>
      <c r="F86" s="19" t="n"/>
      <c r="G86" s="19" t="n"/>
      <c r="H86" s="17">
        <f>IF(A86="","",TEXT(A86,"yyyy-mm"))</f>
        <v/>
      </c>
    </row>
    <row r="87">
      <c r="A87" s="22" t="n"/>
      <c r="B87" s="19" t="n"/>
      <c r="C87" s="19" t="n"/>
      <c r="D87" s="18">
        <f>IF(C87="","",IFERROR(INDEX('Quy dinh'!$B$14:$B$18,MATCH(C87,'Quy dinh'!$A$14:$A$18,0)),"Mã lỗi không hợp lệ"))</f>
        <v/>
      </c>
      <c r="E87" s="7">
        <f>IF(C87="","",IFERROR(INDEX('Quy dinh'!$C$14:$C$18,MATCH(C87,'Quy dinh'!$A$14:$A$18,0)),0))</f>
        <v/>
      </c>
      <c r="F87" s="19" t="n"/>
      <c r="G87" s="19" t="n"/>
      <c r="H87" s="17">
        <f>IF(A87="","",TEXT(A87,"yyyy-mm"))</f>
        <v/>
      </c>
    </row>
    <row r="88">
      <c r="A88" s="22" t="n"/>
      <c r="B88" s="19" t="n"/>
      <c r="C88" s="19" t="n"/>
      <c r="D88" s="18">
        <f>IF(C88="","",IFERROR(INDEX('Quy dinh'!$B$14:$B$18,MATCH(C88,'Quy dinh'!$A$14:$A$18,0)),"Mã lỗi không hợp lệ"))</f>
        <v/>
      </c>
      <c r="E88" s="7">
        <f>IF(C88="","",IFERROR(INDEX('Quy dinh'!$C$14:$C$18,MATCH(C88,'Quy dinh'!$A$14:$A$18,0)),0))</f>
        <v/>
      </c>
      <c r="F88" s="19" t="n"/>
      <c r="G88" s="19" t="n"/>
      <c r="H88" s="17">
        <f>IF(A88="","",TEXT(A88,"yyyy-mm"))</f>
        <v/>
      </c>
    </row>
    <row r="89">
      <c r="A89" s="22" t="n"/>
      <c r="B89" s="19" t="n"/>
      <c r="C89" s="19" t="n"/>
      <c r="D89" s="18">
        <f>IF(C89="","",IFERROR(INDEX('Quy dinh'!$B$14:$B$18,MATCH(C89,'Quy dinh'!$A$14:$A$18,0)),"Mã lỗi không hợp lệ"))</f>
        <v/>
      </c>
      <c r="E89" s="7">
        <f>IF(C89="","",IFERROR(INDEX('Quy dinh'!$C$14:$C$18,MATCH(C89,'Quy dinh'!$A$14:$A$18,0)),0))</f>
        <v/>
      </c>
      <c r="F89" s="19" t="n"/>
      <c r="G89" s="19" t="n"/>
      <c r="H89" s="17">
        <f>IF(A89="","",TEXT(A89,"yyyy-mm"))</f>
        <v/>
      </c>
    </row>
    <row r="90">
      <c r="A90" s="22" t="n"/>
      <c r="B90" s="19" t="n"/>
      <c r="C90" s="19" t="n"/>
      <c r="D90" s="18">
        <f>IF(C90="","",IFERROR(INDEX('Quy dinh'!$B$14:$B$18,MATCH(C90,'Quy dinh'!$A$14:$A$18,0)),"Mã lỗi không hợp lệ"))</f>
        <v/>
      </c>
      <c r="E90" s="7">
        <f>IF(C90="","",IFERROR(INDEX('Quy dinh'!$C$14:$C$18,MATCH(C90,'Quy dinh'!$A$14:$A$18,0)),0))</f>
        <v/>
      </c>
      <c r="F90" s="19" t="n"/>
      <c r="G90" s="19" t="n"/>
      <c r="H90" s="17">
        <f>IF(A90="","",TEXT(A90,"yyyy-mm"))</f>
        <v/>
      </c>
    </row>
    <row r="91">
      <c r="A91" s="22" t="n"/>
      <c r="B91" s="19" t="n"/>
      <c r="C91" s="19" t="n"/>
      <c r="D91" s="18">
        <f>IF(C91="","",IFERROR(INDEX('Quy dinh'!$B$14:$B$18,MATCH(C91,'Quy dinh'!$A$14:$A$18,0)),"Mã lỗi không hợp lệ"))</f>
        <v/>
      </c>
      <c r="E91" s="7">
        <f>IF(C91="","",IFERROR(INDEX('Quy dinh'!$C$14:$C$18,MATCH(C91,'Quy dinh'!$A$14:$A$18,0)),0))</f>
        <v/>
      </c>
      <c r="F91" s="19" t="n"/>
      <c r="G91" s="19" t="n"/>
      <c r="H91" s="17">
        <f>IF(A91="","",TEXT(A91,"yyyy-mm"))</f>
        <v/>
      </c>
    </row>
    <row r="92">
      <c r="A92" s="22" t="n"/>
      <c r="B92" s="19" t="n"/>
      <c r="C92" s="19" t="n"/>
      <c r="D92" s="18">
        <f>IF(C92="","",IFERROR(INDEX('Quy dinh'!$B$14:$B$18,MATCH(C92,'Quy dinh'!$A$14:$A$18,0)),"Mã lỗi không hợp lệ"))</f>
        <v/>
      </c>
      <c r="E92" s="7">
        <f>IF(C92="","",IFERROR(INDEX('Quy dinh'!$C$14:$C$18,MATCH(C92,'Quy dinh'!$A$14:$A$18,0)),0))</f>
        <v/>
      </c>
      <c r="F92" s="19" t="n"/>
      <c r="G92" s="19" t="n"/>
      <c r="H92" s="17">
        <f>IF(A92="","",TEXT(A92,"yyyy-mm"))</f>
        <v/>
      </c>
    </row>
    <row r="93">
      <c r="A93" s="22" t="n"/>
      <c r="B93" s="19" t="n"/>
      <c r="C93" s="19" t="n"/>
      <c r="D93" s="18">
        <f>IF(C93="","",IFERROR(INDEX('Quy dinh'!$B$14:$B$18,MATCH(C93,'Quy dinh'!$A$14:$A$18,0)),"Mã lỗi không hợp lệ"))</f>
        <v/>
      </c>
      <c r="E93" s="7">
        <f>IF(C93="","",IFERROR(INDEX('Quy dinh'!$C$14:$C$18,MATCH(C93,'Quy dinh'!$A$14:$A$18,0)),0))</f>
        <v/>
      </c>
      <c r="F93" s="19" t="n"/>
      <c r="G93" s="19" t="n"/>
      <c r="H93" s="17">
        <f>IF(A93="","",TEXT(A93,"yyyy-mm"))</f>
        <v/>
      </c>
    </row>
    <row r="94">
      <c r="A94" s="22" t="n"/>
      <c r="B94" s="19" t="n"/>
      <c r="C94" s="19" t="n"/>
      <c r="D94" s="18">
        <f>IF(C94="","",IFERROR(INDEX('Quy dinh'!$B$14:$B$18,MATCH(C94,'Quy dinh'!$A$14:$A$18,0)),"Mã lỗi không hợp lệ"))</f>
        <v/>
      </c>
      <c r="E94" s="7">
        <f>IF(C94="","",IFERROR(INDEX('Quy dinh'!$C$14:$C$18,MATCH(C94,'Quy dinh'!$A$14:$A$18,0)),0))</f>
        <v/>
      </c>
      <c r="F94" s="19" t="n"/>
      <c r="G94" s="19" t="n"/>
      <c r="H94" s="17">
        <f>IF(A94="","",TEXT(A94,"yyyy-mm"))</f>
        <v/>
      </c>
    </row>
    <row r="95">
      <c r="A95" s="22" t="n"/>
      <c r="B95" s="19" t="n"/>
      <c r="C95" s="19" t="n"/>
      <c r="D95" s="18">
        <f>IF(C95="","",IFERROR(INDEX('Quy dinh'!$B$14:$B$18,MATCH(C95,'Quy dinh'!$A$14:$A$18,0)),"Mã lỗi không hợp lệ"))</f>
        <v/>
      </c>
      <c r="E95" s="7">
        <f>IF(C95="","",IFERROR(INDEX('Quy dinh'!$C$14:$C$18,MATCH(C95,'Quy dinh'!$A$14:$A$18,0)),0))</f>
        <v/>
      </c>
      <c r="F95" s="19" t="n"/>
      <c r="G95" s="19" t="n"/>
      <c r="H95" s="17">
        <f>IF(A95="","",TEXT(A95,"yyyy-mm"))</f>
        <v/>
      </c>
    </row>
    <row r="96">
      <c r="A96" s="22" t="n"/>
      <c r="B96" s="19" t="n"/>
      <c r="C96" s="19" t="n"/>
      <c r="D96" s="18">
        <f>IF(C96="","",IFERROR(INDEX('Quy dinh'!$B$14:$B$18,MATCH(C96,'Quy dinh'!$A$14:$A$18,0)),"Mã lỗi không hợp lệ"))</f>
        <v/>
      </c>
      <c r="E96" s="7">
        <f>IF(C96="","",IFERROR(INDEX('Quy dinh'!$C$14:$C$18,MATCH(C96,'Quy dinh'!$A$14:$A$18,0)),0))</f>
        <v/>
      </c>
      <c r="F96" s="19" t="n"/>
      <c r="G96" s="19" t="n"/>
      <c r="H96" s="17">
        <f>IF(A96="","",TEXT(A96,"yyyy-mm"))</f>
        <v/>
      </c>
    </row>
    <row r="97">
      <c r="A97" s="22" t="n"/>
      <c r="B97" s="19" t="n"/>
      <c r="C97" s="19" t="n"/>
      <c r="D97" s="18">
        <f>IF(C97="","",IFERROR(INDEX('Quy dinh'!$B$14:$B$18,MATCH(C97,'Quy dinh'!$A$14:$A$18,0)),"Mã lỗi không hợp lệ"))</f>
        <v/>
      </c>
      <c r="E97" s="7">
        <f>IF(C97="","",IFERROR(INDEX('Quy dinh'!$C$14:$C$18,MATCH(C97,'Quy dinh'!$A$14:$A$18,0)),0))</f>
        <v/>
      </c>
      <c r="F97" s="19" t="n"/>
      <c r="G97" s="19" t="n"/>
      <c r="H97" s="17">
        <f>IF(A97="","",TEXT(A97,"yyyy-mm"))</f>
        <v/>
      </c>
    </row>
    <row r="98">
      <c r="A98" s="22" t="n"/>
      <c r="B98" s="19" t="n"/>
      <c r="C98" s="19" t="n"/>
      <c r="D98" s="18">
        <f>IF(C98="","",IFERROR(INDEX('Quy dinh'!$B$14:$B$18,MATCH(C98,'Quy dinh'!$A$14:$A$18,0)),"Mã lỗi không hợp lệ"))</f>
        <v/>
      </c>
      <c r="E98" s="7">
        <f>IF(C98="","",IFERROR(INDEX('Quy dinh'!$C$14:$C$18,MATCH(C98,'Quy dinh'!$A$14:$A$18,0)),0))</f>
        <v/>
      </c>
      <c r="F98" s="19" t="n"/>
      <c r="G98" s="19" t="n"/>
      <c r="H98" s="17">
        <f>IF(A98="","",TEXT(A98,"yyyy-mm"))</f>
        <v/>
      </c>
    </row>
    <row r="99">
      <c r="A99" s="22" t="n"/>
      <c r="B99" s="19" t="n"/>
      <c r="C99" s="19" t="n"/>
      <c r="D99" s="18">
        <f>IF(C99="","",IFERROR(INDEX('Quy dinh'!$B$14:$B$18,MATCH(C99,'Quy dinh'!$A$14:$A$18,0)),"Mã lỗi không hợp lệ"))</f>
        <v/>
      </c>
      <c r="E99" s="7">
        <f>IF(C99="","",IFERROR(INDEX('Quy dinh'!$C$14:$C$18,MATCH(C99,'Quy dinh'!$A$14:$A$18,0)),0))</f>
        <v/>
      </c>
      <c r="F99" s="19" t="n"/>
      <c r="G99" s="19" t="n"/>
      <c r="H99" s="17">
        <f>IF(A99="","",TEXT(A99,"yyyy-mm"))</f>
        <v/>
      </c>
    </row>
    <row r="100">
      <c r="A100" s="22" t="n"/>
      <c r="B100" s="19" t="n"/>
      <c r="C100" s="19" t="n"/>
      <c r="D100" s="18">
        <f>IF(C100="","",IFERROR(INDEX('Quy dinh'!$B$14:$B$18,MATCH(C100,'Quy dinh'!$A$14:$A$18,0)),"Mã lỗi không hợp lệ"))</f>
        <v/>
      </c>
      <c r="E100" s="7">
        <f>IF(C100="","",IFERROR(INDEX('Quy dinh'!$C$14:$C$18,MATCH(C100,'Quy dinh'!$A$14:$A$18,0)),0))</f>
        <v/>
      </c>
      <c r="F100" s="19" t="n"/>
      <c r="G100" s="19" t="n"/>
      <c r="H100" s="17">
        <f>IF(A100="","",TEXT(A100,"yyyy-mm"))</f>
        <v/>
      </c>
    </row>
    <row r="101">
      <c r="A101" s="22" t="n"/>
      <c r="B101" s="19" t="n"/>
      <c r="C101" s="19" t="n"/>
      <c r="D101" s="18">
        <f>IF(C101="","",IFERROR(INDEX('Quy dinh'!$B$14:$B$18,MATCH(C101,'Quy dinh'!$A$14:$A$18,0)),"Mã lỗi không hợp lệ"))</f>
        <v/>
      </c>
      <c r="E101" s="7">
        <f>IF(C101="","",IFERROR(INDEX('Quy dinh'!$C$14:$C$18,MATCH(C101,'Quy dinh'!$A$14:$A$18,0)),0))</f>
        <v/>
      </c>
      <c r="F101" s="19" t="n"/>
      <c r="G101" s="19" t="n"/>
      <c r="H101" s="17">
        <f>IF(A101="","",TEXT(A101,"yyyy-mm"))</f>
        <v/>
      </c>
    </row>
    <row r="102">
      <c r="A102" s="22" t="n"/>
      <c r="B102" s="19" t="n"/>
      <c r="C102" s="19" t="n"/>
      <c r="D102" s="18">
        <f>IF(C102="","",IFERROR(INDEX('Quy dinh'!$B$14:$B$18,MATCH(C102,'Quy dinh'!$A$14:$A$18,0)),"Mã lỗi không hợp lệ"))</f>
        <v/>
      </c>
      <c r="E102" s="7">
        <f>IF(C102="","",IFERROR(INDEX('Quy dinh'!$C$14:$C$18,MATCH(C102,'Quy dinh'!$A$14:$A$18,0)),0))</f>
        <v/>
      </c>
      <c r="F102" s="19" t="n"/>
      <c r="G102" s="19" t="n"/>
      <c r="H102" s="17">
        <f>IF(A102="","",TEXT(A102,"yyyy-mm"))</f>
        <v/>
      </c>
    </row>
    <row r="103">
      <c r="A103" s="22" t="n"/>
      <c r="B103" s="19" t="n"/>
      <c r="C103" s="19" t="n"/>
      <c r="D103" s="18">
        <f>IF(C103="","",IFERROR(INDEX('Quy dinh'!$B$14:$B$18,MATCH(C103,'Quy dinh'!$A$14:$A$18,0)),"Mã lỗi không hợp lệ"))</f>
        <v/>
      </c>
      <c r="E103" s="7">
        <f>IF(C103="","",IFERROR(INDEX('Quy dinh'!$C$14:$C$18,MATCH(C103,'Quy dinh'!$A$14:$A$18,0)),0))</f>
        <v/>
      </c>
      <c r="F103" s="19" t="n"/>
      <c r="G103" s="19" t="n"/>
      <c r="H103" s="17">
        <f>IF(A103="","",TEXT(A103,"yyyy-mm"))</f>
        <v/>
      </c>
    </row>
    <row r="104">
      <c r="A104" s="22" t="n"/>
      <c r="B104" s="19" t="n"/>
      <c r="C104" s="19" t="n"/>
      <c r="D104" s="18">
        <f>IF(C104="","",IFERROR(INDEX('Quy dinh'!$B$14:$B$18,MATCH(C104,'Quy dinh'!$A$14:$A$18,0)),"Mã lỗi không hợp lệ"))</f>
        <v/>
      </c>
      <c r="E104" s="7">
        <f>IF(C104="","",IFERROR(INDEX('Quy dinh'!$C$14:$C$18,MATCH(C104,'Quy dinh'!$A$14:$A$18,0)),0))</f>
        <v/>
      </c>
      <c r="F104" s="19" t="n"/>
      <c r="G104" s="19" t="n"/>
      <c r="H104" s="17">
        <f>IF(A104="","",TEXT(A104,"yyyy-mm"))</f>
        <v/>
      </c>
    </row>
    <row r="105">
      <c r="A105" s="22" t="n"/>
      <c r="B105" s="19" t="n"/>
      <c r="C105" s="19" t="n"/>
      <c r="D105" s="18">
        <f>IF(C105="","",IFERROR(INDEX('Quy dinh'!$B$14:$B$18,MATCH(C105,'Quy dinh'!$A$14:$A$18,0)),"Mã lỗi không hợp lệ"))</f>
        <v/>
      </c>
      <c r="E105" s="7">
        <f>IF(C105="","",IFERROR(INDEX('Quy dinh'!$C$14:$C$18,MATCH(C105,'Quy dinh'!$A$14:$A$18,0)),0))</f>
        <v/>
      </c>
      <c r="F105" s="19" t="n"/>
      <c r="G105" s="19" t="n"/>
      <c r="H105" s="17">
        <f>IF(A105="","",TEXT(A105,"yyyy-mm"))</f>
        <v/>
      </c>
    </row>
    <row r="106">
      <c r="A106" s="22" t="n"/>
      <c r="B106" s="19" t="n"/>
      <c r="C106" s="19" t="n"/>
      <c r="D106" s="18">
        <f>IF(C106="","",IFERROR(INDEX('Quy dinh'!$B$14:$B$18,MATCH(C106,'Quy dinh'!$A$14:$A$18,0)),"Mã lỗi không hợp lệ"))</f>
        <v/>
      </c>
      <c r="E106" s="7">
        <f>IF(C106="","",IFERROR(INDEX('Quy dinh'!$C$14:$C$18,MATCH(C106,'Quy dinh'!$A$14:$A$18,0)),0))</f>
        <v/>
      </c>
      <c r="F106" s="19" t="n"/>
      <c r="G106" s="19" t="n"/>
      <c r="H106" s="17">
        <f>IF(A106="","",TEXT(A106,"yyyy-mm"))</f>
        <v/>
      </c>
    </row>
    <row r="107">
      <c r="A107" s="22" t="n"/>
      <c r="B107" s="19" t="n"/>
      <c r="C107" s="19" t="n"/>
      <c r="D107" s="18">
        <f>IF(C107="","",IFERROR(INDEX('Quy dinh'!$B$14:$B$18,MATCH(C107,'Quy dinh'!$A$14:$A$18,0)),"Mã lỗi không hợp lệ"))</f>
        <v/>
      </c>
      <c r="E107" s="7">
        <f>IF(C107="","",IFERROR(INDEX('Quy dinh'!$C$14:$C$18,MATCH(C107,'Quy dinh'!$A$14:$A$18,0)),0))</f>
        <v/>
      </c>
      <c r="F107" s="19" t="n"/>
      <c r="G107" s="19" t="n"/>
      <c r="H107" s="17">
        <f>IF(A107="","",TEXT(A107,"yyyy-mm"))</f>
        <v/>
      </c>
    </row>
    <row r="108">
      <c r="A108" s="22" t="n"/>
      <c r="B108" s="19" t="n"/>
      <c r="C108" s="19" t="n"/>
      <c r="D108" s="18">
        <f>IF(C108="","",IFERROR(INDEX('Quy dinh'!$B$14:$B$18,MATCH(C108,'Quy dinh'!$A$14:$A$18,0)),"Mã lỗi không hợp lệ"))</f>
        <v/>
      </c>
      <c r="E108" s="7">
        <f>IF(C108="","",IFERROR(INDEX('Quy dinh'!$C$14:$C$18,MATCH(C108,'Quy dinh'!$A$14:$A$18,0)),0))</f>
        <v/>
      </c>
      <c r="F108" s="19" t="n"/>
      <c r="G108" s="19" t="n"/>
      <c r="H108" s="17">
        <f>IF(A108="","",TEXT(A108,"yyyy-mm"))</f>
        <v/>
      </c>
    </row>
    <row r="109">
      <c r="A109" s="22" t="n"/>
      <c r="B109" s="19" t="n"/>
      <c r="C109" s="19" t="n"/>
      <c r="D109" s="18">
        <f>IF(C109="","",IFERROR(INDEX('Quy dinh'!$B$14:$B$18,MATCH(C109,'Quy dinh'!$A$14:$A$18,0)),"Mã lỗi không hợp lệ"))</f>
        <v/>
      </c>
      <c r="E109" s="7">
        <f>IF(C109="","",IFERROR(INDEX('Quy dinh'!$C$14:$C$18,MATCH(C109,'Quy dinh'!$A$14:$A$18,0)),0))</f>
        <v/>
      </c>
      <c r="F109" s="19" t="n"/>
      <c r="G109" s="19" t="n"/>
      <c r="H109" s="17">
        <f>IF(A109="","",TEXT(A109,"yyyy-mm"))</f>
        <v/>
      </c>
    </row>
    <row r="110">
      <c r="A110" s="22" t="n"/>
      <c r="B110" s="19" t="n"/>
      <c r="C110" s="19" t="n"/>
      <c r="D110" s="18">
        <f>IF(C110="","",IFERROR(INDEX('Quy dinh'!$B$14:$B$18,MATCH(C110,'Quy dinh'!$A$14:$A$18,0)),"Mã lỗi không hợp lệ"))</f>
        <v/>
      </c>
      <c r="E110" s="7">
        <f>IF(C110="","",IFERROR(INDEX('Quy dinh'!$C$14:$C$18,MATCH(C110,'Quy dinh'!$A$14:$A$18,0)),0))</f>
        <v/>
      </c>
      <c r="F110" s="19" t="n"/>
      <c r="G110" s="19" t="n"/>
      <c r="H110" s="17">
        <f>IF(A110="","",TEXT(A110,"yyyy-mm"))</f>
        <v/>
      </c>
    </row>
    <row r="111">
      <c r="A111" s="22" t="n"/>
      <c r="B111" s="19" t="n"/>
      <c r="C111" s="19" t="n"/>
      <c r="D111" s="18">
        <f>IF(C111="","",IFERROR(INDEX('Quy dinh'!$B$14:$B$18,MATCH(C111,'Quy dinh'!$A$14:$A$18,0)),"Mã lỗi không hợp lệ"))</f>
        <v/>
      </c>
      <c r="E111" s="7">
        <f>IF(C111="","",IFERROR(INDEX('Quy dinh'!$C$14:$C$18,MATCH(C111,'Quy dinh'!$A$14:$A$18,0)),0))</f>
        <v/>
      </c>
      <c r="F111" s="19" t="n"/>
      <c r="G111" s="19" t="n"/>
      <c r="H111" s="17">
        <f>IF(A111="","",TEXT(A111,"yyyy-mm"))</f>
        <v/>
      </c>
    </row>
    <row r="112">
      <c r="A112" s="22" t="n"/>
      <c r="B112" s="19" t="n"/>
      <c r="C112" s="19" t="n"/>
      <c r="D112" s="18">
        <f>IF(C112="","",IFERROR(INDEX('Quy dinh'!$B$14:$B$18,MATCH(C112,'Quy dinh'!$A$14:$A$18,0)),"Mã lỗi không hợp lệ"))</f>
        <v/>
      </c>
      <c r="E112" s="7">
        <f>IF(C112="","",IFERROR(INDEX('Quy dinh'!$C$14:$C$18,MATCH(C112,'Quy dinh'!$A$14:$A$18,0)),0))</f>
        <v/>
      </c>
      <c r="F112" s="19" t="n"/>
      <c r="G112" s="19" t="n"/>
      <c r="H112" s="17">
        <f>IF(A112="","",TEXT(A112,"yyyy-mm"))</f>
        <v/>
      </c>
    </row>
    <row r="113">
      <c r="A113" s="22" t="n"/>
      <c r="B113" s="19" t="n"/>
      <c r="C113" s="19" t="n"/>
      <c r="D113" s="18">
        <f>IF(C113="","",IFERROR(INDEX('Quy dinh'!$B$14:$B$18,MATCH(C113,'Quy dinh'!$A$14:$A$18,0)),"Mã lỗi không hợp lệ"))</f>
        <v/>
      </c>
      <c r="E113" s="7">
        <f>IF(C113="","",IFERROR(INDEX('Quy dinh'!$C$14:$C$18,MATCH(C113,'Quy dinh'!$A$14:$A$18,0)),0))</f>
        <v/>
      </c>
      <c r="F113" s="19" t="n"/>
      <c r="G113" s="19" t="n"/>
      <c r="H113" s="17">
        <f>IF(A113="","",TEXT(A113,"yyyy-mm"))</f>
        <v/>
      </c>
    </row>
    <row r="114">
      <c r="A114" s="22" t="n"/>
      <c r="B114" s="19" t="n"/>
      <c r="C114" s="19" t="n"/>
      <c r="D114" s="18">
        <f>IF(C114="","",IFERROR(INDEX('Quy dinh'!$B$14:$B$18,MATCH(C114,'Quy dinh'!$A$14:$A$18,0)),"Mã lỗi không hợp lệ"))</f>
        <v/>
      </c>
      <c r="E114" s="7">
        <f>IF(C114="","",IFERROR(INDEX('Quy dinh'!$C$14:$C$18,MATCH(C114,'Quy dinh'!$A$14:$A$18,0)),0))</f>
        <v/>
      </c>
      <c r="F114" s="19" t="n"/>
      <c r="G114" s="19" t="n"/>
      <c r="H114" s="17">
        <f>IF(A114="","",TEXT(A114,"yyyy-mm"))</f>
        <v/>
      </c>
    </row>
    <row r="115">
      <c r="A115" s="22" t="n"/>
      <c r="B115" s="19" t="n"/>
      <c r="C115" s="19" t="n"/>
      <c r="D115" s="18">
        <f>IF(C115="","",IFERROR(INDEX('Quy dinh'!$B$14:$B$18,MATCH(C115,'Quy dinh'!$A$14:$A$18,0)),"Mã lỗi không hợp lệ"))</f>
        <v/>
      </c>
      <c r="E115" s="7">
        <f>IF(C115="","",IFERROR(INDEX('Quy dinh'!$C$14:$C$18,MATCH(C115,'Quy dinh'!$A$14:$A$18,0)),0))</f>
        <v/>
      </c>
      <c r="F115" s="19" t="n"/>
      <c r="G115" s="19" t="n"/>
      <c r="H115" s="17">
        <f>IF(A115="","",TEXT(A115,"yyyy-mm"))</f>
        <v/>
      </c>
    </row>
    <row r="116">
      <c r="A116" s="22" t="n"/>
      <c r="B116" s="19" t="n"/>
      <c r="C116" s="19" t="n"/>
      <c r="D116" s="18">
        <f>IF(C116="","",IFERROR(INDEX('Quy dinh'!$B$14:$B$18,MATCH(C116,'Quy dinh'!$A$14:$A$18,0)),"Mã lỗi không hợp lệ"))</f>
        <v/>
      </c>
      <c r="E116" s="7">
        <f>IF(C116="","",IFERROR(INDEX('Quy dinh'!$C$14:$C$18,MATCH(C116,'Quy dinh'!$A$14:$A$18,0)),0))</f>
        <v/>
      </c>
      <c r="F116" s="19" t="n"/>
      <c r="G116" s="19" t="n"/>
      <c r="H116" s="17">
        <f>IF(A116="","",TEXT(A116,"yyyy-mm"))</f>
        <v/>
      </c>
    </row>
    <row r="117">
      <c r="A117" s="22" t="n"/>
      <c r="B117" s="19" t="n"/>
      <c r="C117" s="19" t="n"/>
      <c r="D117" s="18">
        <f>IF(C117="","",IFERROR(INDEX('Quy dinh'!$B$14:$B$18,MATCH(C117,'Quy dinh'!$A$14:$A$18,0)),"Mã lỗi không hợp lệ"))</f>
        <v/>
      </c>
      <c r="E117" s="7">
        <f>IF(C117="","",IFERROR(INDEX('Quy dinh'!$C$14:$C$18,MATCH(C117,'Quy dinh'!$A$14:$A$18,0)),0))</f>
        <v/>
      </c>
      <c r="F117" s="19" t="n"/>
      <c r="G117" s="19" t="n"/>
      <c r="H117" s="17">
        <f>IF(A117="","",TEXT(A117,"yyyy-mm"))</f>
        <v/>
      </c>
    </row>
    <row r="118">
      <c r="A118" s="22" t="n"/>
      <c r="B118" s="19" t="n"/>
      <c r="C118" s="19" t="n"/>
      <c r="D118" s="18">
        <f>IF(C118="","",IFERROR(INDEX('Quy dinh'!$B$14:$B$18,MATCH(C118,'Quy dinh'!$A$14:$A$18,0)),"Mã lỗi không hợp lệ"))</f>
        <v/>
      </c>
      <c r="E118" s="7">
        <f>IF(C118="","",IFERROR(INDEX('Quy dinh'!$C$14:$C$18,MATCH(C118,'Quy dinh'!$A$14:$A$18,0)),0))</f>
        <v/>
      </c>
      <c r="F118" s="19" t="n"/>
      <c r="G118" s="19" t="n"/>
      <c r="H118" s="17">
        <f>IF(A118="","",TEXT(A118,"yyyy-mm"))</f>
        <v/>
      </c>
    </row>
    <row r="119">
      <c r="A119" s="22" t="n"/>
      <c r="B119" s="19" t="n"/>
      <c r="C119" s="19" t="n"/>
      <c r="D119" s="18">
        <f>IF(C119="","",IFERROR(INDEX('Quy dinh'!$B$14:$B$18,MATCH(C119,'Quy dinh'!$A$14:$A$18,0)),"Mã lỗi không hợp lệ"))</f>
        <v/>
      </c>
      <c r="E119" s="7">
        <f>IF(C119="","",IFERROR(INDEX('Quy dinh'!$C$14:$C$18,MATCH(C119,'Quy dinh'!$A$14:$A$18,0)),0))</f>
        <v/>
      </c>
      <c r="F119" s="19" t="n"/>
      <c r="G119" s="19" t="n"/>
      <c r="H119" s="17">
        <f>IF(A119="","",TEXT(A119,"yyyy-mm"))</f>
        <v/>
      </c>
    </row>
    <row r="120">
      <c r="A120" s="22" t="n"/>
      <c r="B120" s="19" t="n"/>
      <c r="C120" s="19" t="n"/>
      <c r="D120" s="18">
        <f>IF(C120="","",IFERROR(INDEX('Quy dinh'!$B$14:$B$18,MATCH(C120,'Quy dinh'!$A$14:$A$18,0)),"Mã lỗi không hợp lệ"))</f>
        <v/>
      </c>
      <c r="E120" s="7">
        <f>IF(C120="","",IFERROR(INDEX('Quy dinh'!$C$14:$C$18,MATCH(C120,'Quy dinh'!$A$14:$A$18,0)),0))</f>
        <v/>
      </c>
      <c r="F120" s="19" t="n"/>
      <c r="G120" s="19" t="n"/>
      <c r="H120" s="17">
        <f>IF(A120="","",TEXT(A120,"yyyy-mm"))</f>
        <v/>
      </c>
    </row>
    <row r="121">
      <c r="A121" s="22" t="n"/>
      <c r="B121" s="19" t="n"/>
      <c r="C121" s="19" t="n"/>
      <c r="D121" s="18">
        <f>IF(C121="","",IFERROR(INDEX('Quy dinh'!$B$14:$B$18,MATCH(C121,'Quy dinh'!$A$14:$A$18,0)),"Mã lỗi không hợp lệ"))</f>
        <v/>
      </c>
      <c r="E121" s="7">
        <f>IF(C121="","",IFERROR(INDEX('Quy dinh'!$C$14:$C$18,MATCH(C121,'Quy dinh'!$A$14:$A$18,0)),0))</f>
        <v/>
      </c>
      <c r="F121" s="19" t="n"/>
      <c r="G121" s="19" t="n"/>
      <c r="H121" s="17">
        <f>IF(A121="","",TEXT(A121,"yyyy-mm"))</f>
        <v/>
      </c>
    </row>
    <row r="122">
      <c r="A122" s="22" t="n"/>
      <c r="B122" s="19" t="n"/>
      <c r="C122" s="19" t="n"/>
      <c r="D122" s="18">
        <f>IF(C122="","",IFERROR(INDEX('Quy dinh'!$B$14:$B$18,MATCH(C122,'Quy dinh'!$A$14:$A$18,0)),"Mã lỗi không hợp lệ"))</f>
        <v/>
      </c>
      <c r="E122" s="7">
        <f>IF(C122="","",IFERROR(INDEX('Quy dinh'!$C$14:$C$18,MATCH(C122,'Quy dinh'!$A$14:$A$18,0)),0))</f>
        <v/>
      </c>
      <c r="F122" s="19" t="n"/>
      <c r="G122" s="19" t="n"/>
      <c r="H122" s="17">
        <f>IF(A122="","",TEXT(A122,"yyyy-mm"))</f>
        <v/>
      </c>
    </row>
    <row r="123">
      <c r="A123" s="22" t="n"/>
      <c r="B123" s="19" t="n"/>
      <c r="C123" s="19" t="n"/>
      <c r="D123" s="18">
        <f>IF(C123="","",IFERROR(INDEX('Quy dinh'!$B$14:$B$18,MATCH(C123,'Quy dinh'!$A$14:$A$18,0)),"Mã lỗi không hợp lệ"))</f>
        <v/>
      </c>
      <c r="E123" s="7">
        <f>IF(C123="","",IFERROR(INDEX('Quy dinh'!$C$14:$C$18,MATCH(C123,'Quy dinh'!$A$14:$A$18,0)),0))</f>
        <v/>
      </c>
      <c r="F123" s="19" t="n"/>
      <c r="G123" s="19" t="n"/>
      <c r="H123" s="17">
        <f>IF(A123="","",TEXT(A123,"yyyy-mm"))</f>
        <v/>
      </c>
    </row>
    <row r="124">
      <c r="A124" s="22" t="n"/>
      <c r="B124" s="19" t="n"/>
      <c r="C124" s="19" t="n"/>
      <c r="D124" s="18">
        <f>IF(C124="","",IFERROR(INDEX('Quy dinh'!$B$14:$B$18,MATCH(C124,'Quy dinh'!$A$14:$A$18,0)),"Mã lỗi không hợp lệ"))</f>
        <v/>
      </c>
      <c r="E124" s="7">
        <f>IF(C124="","",IFERROR(INDEX('Quy dinh'!$C$14:$C$18,MATCH(C124,'Quy dinh'!$A$14:$A$18,0)),0))</f>
        <v/>
      </c>
      <c r="F124" s="19" t="n"/>
      <c r="G124" s="19" t="n"/>
      <c r="H124" s="17">
        <f>IF(A124="","",TEXT(A124,"yyyy-mm"))</f>
        <v/>
      </c>
    </row>
    <row r="125">
      <c r="A125" s="22" t="n"/>
      <c r="B125" s="19" t="n"/>
      <c r="C125" s="19" t="n"/>
      <c r="D125" s="18">
        <f>IF(C125="","",IFERROR(INDEX('Quy dinh'!$B$14:$B$18,MATCH(C125,'Quy dinh'!$A$14:$A$18,0)),"Mã lỗi không hợp lệ"))</f>
        <v/>
      </c>
      <c r="E125" s="7">
        <f>IF(C125="","",IFERROR(INDEX('Quy dinh'!$C$14:$C$18,MATCH(C125,'Quy dinh'!$A$14:$A$18,0)),0))</f>
        <v/>
      </c>
      <c r="F125" s="19" t="n"/>
      <c r="G125" s="19" t="n"/>
      <c r="H125" s="17">
        <f>IF(A125="","",TEXT(A125,"yyyy-mm"))</f>
        <v/>
      </c>
    </row>
    <row r="126">
      <c r="A126" s="22" t="n"/>
      <c r="B126" s="19" t="n"/>
      <c r="C126" s="19" t="n"/>
      <c r="D126" s="18">
        <f>IF(C126="","",IFERROR(INDEX('Quy dinh'!$B$14:$B$18,MATCH(C126,'Quy dinh'!$A$14:$A$18,0)),"Mã lỗi không hợp lệ"))</f>
        <v/>
      </c>
      <c r="E126" s="7">
        <f>IF(C126="","",IFERROR(INDEX('Quy dinh'!$C$14:$C$18,MATCH(C126,'Quy dinh'!$A$14:$A$18,0)),0))</f>
        <v/>
      </c>
      <c r="F126" s="19" t="n"/>
      <c r="G126" s="19" t="n"/>
      <c r="H126" s="17">
        <f>IF(A126="","",TEXT(A126,"yyyy-mm"))</f>
        <v/>
      </c>
    </row>
    <row r="127">
      <c r="A127" s="22" t="n"/>
      <c r="B127" s="19" t="n"/>
      <c r="C127" s="19" t="n"/>
      <c r="D127" s="18">
        <f>IF(C127="","",IFERROR(INDEX('Quy dinh'!$B$14:$B$18,MATCH(C127,'Quy dinh'!$A$14:$A$18,0)),"Mã lỗi không hợp lệ"))</f>
        <v/>
      </c>
      <c r="E127" s="7">
        <f>IF(C127="","",IFERROR(INDEX('Quy dinh'!$C$14:$C$18,MATCH(C127,'Quy dinh'!$A$14:$A$18,0)),0))</f>
        <v/>
      </c>
      <c r="F127" s="19" t="n"/>
      <c r="G127" s="19" t="n"/>
      <c r="H127" s="17">
        <f>IF(A127="","",TEXT(A127,"yyyy-mm"))</f>
        <v/>
      </c>
    </row>
    <row r="128">
      <c r="A128" s="22" t="n"/>
      <c r="B128" s="19" t="n"/>
      <c r="C128" s="19" t="n"/>
      <c r="D128" s="18">
        <f>IF(C128="","",IFERROR(INDEX('Quy dinh'!$B$14:$B$18,MATCH(C128,'Quy dinh'!$A$14:$A$18,0)),"Mã lỗi không hợp lệ"))</f>
        <v/>
      </c>
      <c r="E128" s="7">
        <f>IF(C128="","",IFERROR(INDEX('Quy dinh'!$C$14:$C$18,MATCH(C128,'Quy dinh'!$A$14:$A$18,0)),0))</f>
        <v/>
      </c>
      <c r="F128" s="19" t="n"/>
      <c r="G128" s="19" t="n"/>
      <c r="H128" s="17">
        <f>IF(A128="","",TEXT(A128,"yyyy-mm"))</f>
        <v/>
      </c>
    </row>
    <row r="129">
      <c r="A129" s="22" t="n"/>
      <c r="B129" s="19" t="n"/>
      <c r="C129" s="19" t="n"/>
      <c r="D129" s="18">
        <f>IF(C129="","",IFERROR(INDEX('Quy dinh'!$B$14:$B$18,MATCH(C129,'Quy dinh'!$A$14:$A$18,0)),"Mã lỗi không hợp lệ"))</f>
        <v/>
      </c>
      <c r="E129" s="7">
        <f>IF(C129="","",IFERROR(INDEX('Quy dinh'!$C$14:$C$18,MATCH(C129,'Quy dinh'!$A$14:$A$18,0)),0))</f>
        <v/>
      </c>
      <c r="F129" s="19" t="n"/>
      <c r="G129" s="19" t="n"/>
      <c r="H129" s="17">
        <f>IF(A129="","",TEXT(A129,"yyyy-mm"))</f>
        <v/>
      </c>
    </row>
    <row r="130">
      <c r="A130" s="22" t="n"/>
      <c r="B130" s="19" t="n"/>
      <c r="C130" s="19" t="n"/>
      <c r="D130" s="18">
        <f>IF(C130="","",IFERROR(INDEX('Quy dinh'!$B$14:$B$18,MATCH(C130,'Quy dinh'!$A$14:$A$18,0)),"Mã lỗi không hợp lệ"))</f>
        <v/>
      </c>
      <c r="E130" s="7">
        <f>IF(C130="","",IFERROR(INDEX('Quy dinh'!$C$14:$C$18,MATCH(C130,'Quy dinh'!$A$14:$A$18,0)),0))</f>
        <v/>
      </c>
      <c r="F130" s="19" t="n"/>
      <c r="G130" s="19" t="n"/>
      <c r="H130" s="17">
        <f>IF(A130="","",TEXT(A130,"yyyy-mm"))</f>
        <v/>
      </c>
    </row>
    <row r="131">
      <c r="A131" s="22" t="n"/>
      <c r="B131" s="19" t="n"/>
      <c r="C131" s="19" t="n"/>
      <c r="D131" s="18">
        <f>IF(C131="","",IFERROR(INDEX('Quy dinh'!$B$14:$B$18,MATCH(C131,'Quy dinh'!$A$14:$A$18,0)),"Mã lỗi không hợp lệ"))</f>
        <v/>
      </c>
      <c r="E131" s="7">
        <f>IF(C131="","",IFERROR(INDEX('Quy dinh'!$C$14:$C$18,MATCH(C131,'Quy dinh'!$A$14:$A$18,0)),0))</f>
        <v/>
      </c>
      <c r="F131" s="19" t="n"/>
      <c r="G131" s="19" t="n"/>
      <c r="H131" s="17">
        <f>IF(A131="","",TEXT(A131,"yyyy-mm"))</f>
        <v/>
      </c>
    </row>
    <row r="132">
      <c r="A132" s="22" t="n"/>
      <c r="B132" s="19" t="n"/>
      <c r="C132" s="19" t="n"/>
      <c r="D132" s="18">
        <f>IF(C132="","",IFERROR(INDEX('Quy dinh'!$B$14:$B$18,MATCH(C132,'Quy dinh'!$A$14:$A$18,0)),"Mã lỗi không hợp lệ"))</f>
        <v/>
      </c>
      <c r="E132" s="7">
        <f>IF(C132="","",IFERROR(INDEX('Quy dinh'!$C$14:$C$18,MATCH(C132,'Quy dinh'!$A$14:$A$18,0)),0))</f>
        <v/>
      </c>
      <c r="F132" s="19" t="n"/>
      <c r="G132" s="19" t="n"/>
      <c r="H132" s="17">
        <f>IF(A132="","",TEXT(A132,"yyyy-mm"))</f>
        <v/>
      </c>
    </row>
    <row r="133">
      <c r="A133" s="22" t="n"/>
      <c r="B133" s="19" t="n"/>
      <c r="C133" s="19" t="n"/>
      <c r="D133" s="18">
        <f>IF(C133="","",IFERROR(INDEX('Quy dinh'!$B$14:$B$18,MATCH(C133,'Quy dinh'!$A$14:$A$18,0)),"Mã lỗi không hợp lệ"))</f>
        <v/>
      </c>
      <c r="E133" s="7">
        <f>IF(C133="","",IFERROR(INDEX('Quy dinh'!$C$14:$C$18,MATCH(C133,'Quy dinh'!$A$14:$A$18,0)),0))</f>
        <v/>
      </c>
      <c r="F133" s="19" t="n"/>
      <c r="G133" s="19" t="n"/>
      <c r="H133" s="17">
        <f>IF(A133="","",TEXT(A133,"yyyy-mm"))</f>
        <v/>
      </c>
    </row>
    <row r="134">
      <c r="A134" s="22" t="n"/>
      <c r="B134" s="19" t="n"/>
      <c r="C134" s="19" t="n"/>
      <c r="D134" s="18">
        <f>IF(C134="","",IFERROR(INDEX('Quy dinh'!$B$14:$B$18,MATCH(C134,'Quy dinh'!$A$14:$A$18,0)),"Mã lỗi không hợp lệ"))</f>
        <v/>
      </c>
      <c r="E134" s="7">
        <f>IF(C134="","",IFERROR(INDEX('Quy dinh'!$C$14:$C$18,MATCH(C134,'Quy dinh'!$A$14:$A$18,0)),0))</f>
        <v/>
      </c>
      <c r="F134" s="19" t="n"/>
      <c r="G134" s="19" t="n"/>
      <c r="H134" s="17">
        <f>IF(A134="","",TEXT(A134,"yyyy-mm"))</f>
        <v/>
      </c>
    </row>
    <row r="135">
      <c r="A135" s="22" t="n"/>
      <c r="B135" s="19" t="n"/>
      <c r="C135" s="19" t="n"/>
      <c r="D135" s="18">
        <f>IF(C135="","",IFERROR(INDEX('Quy dinh'!$B$14:$B$18,MATCH(C135,'Quy dinh'!$A$14:$A$18,0)),"Mã lỗi không hợp lệ"))</f>
        <v/>
      </c>
      <c r="E135" s="7">
        <f>IF(C135="","",IFERROR(INDEX('Quy dinh'!$C$14:$C$18,MATCH(C135,'Quy dinh'!$A$14:$A$18,0)),0))</f>
        <v/>
      </c>
      <c r="F135" s="19" t="n"/>
      <c r="G135" s="19" t="n"/>
      <c r="H135" s="17">
        <f>IF(A135="","",TEXT(A135,"yyyy-mm"))</f>
        <v/>
      </c>
    </row>
    <row r="136">
      <c r="A136" s="22" t="n"/>
      <c r="B136" s="19" t="n"/>
      <c r="C136" s="19" t="n"/>
      <c r="D136" s="18">
        <f>IF(C136="","",IFERROR(INDEX('Quy dinh'!$B$14:$B$18,MATCH(C136,'Quy dinh'!$A$14:$A$18,0)),"Mã lỗi không hợp lệ"))</f>
        <v/>
      </c>
      <c r="E136" s="7">
        <f>IF(C136="","",IFERROR(INDEX('Quy dinh'!$C$14:$C$18,MATCH(C136,'Quy dinh'!$A$14:$A$18,0)),0))</f>
        <v/>
      </c>
      <c r="F136" s="19" t="n"/>
      <c r="G136" s="19" t="n"/>
      <c r="H136" s="17">
        <f>IF(A136="","",TEXT(A136,"yyyy-mm"))</f>
        <v/>
      </c>
    </row>
    <row r="137">
      <c r="A137" s="22" t="n"/>
      <c r="B137" s="19" t="n"/>
      <c r="C137" s="19" t="n"/>
      <c r="D137" s="18">
        <f>IF(C137="","",IFERROR(INDEX('Quy dinh'!$B$14:$B$18,MATCH(C137,'Quy dinh'!$A$14:$A$18,0)),"Mã lỗi không hợp lệ"))</f>
        <v/>
      </c>
      <c r="E137" s="7">
        <f>IF(C137="","",IFERROR(INDEX('Quy dinh'!$C$14:$C$18,MATCH(C137,'Quy dinh'!$A$14:$A$18,0)),0))</f>
        <v/>
      </c>
      <c r="F137" s="19" t="n"/>
      <c r="G137" s="19" t="n"/>
      <c r="H137" s="17">
        <f>IF(A137="","",TEXT(A137,"yyyy-mm"))</f>
        <v/>
      </c>
    </row>
    <row r="138">
      <c r="A138" s="22" t="n"/>
      <c r="B138" s="19" t="n"/>
      <c r="C138" s="19" t="n"/>
      <c r="D138" s="18">
        <f>IF(C138="","",IFERROR(INDEX('Quy dinh'!$B$14:$B$18,MATCH(C138,'Quy dinh'!$A$14:$A$18,0)),"Mã lỗi không hợp lệ"))</f>
        <v/>
      </c>
      <c r="E138" s="7">
        <f>IF(C138="","",IFERROR(INDEX('Quy dinh'!$C$14:$C$18,MATCH(C138,'Quy dinh'!$A$14:$A$18,0)),0))</f>
        <v/>
      </c>
      <c r="F138" s="19" t="n"/>
      <c r="G138" s="19" t="n"/>
      <c r="H138" s="17">
        <f>IF(A138="","",TEXT(A138,"yyyy-mm"))</f>
        <v/>
      </c>
    </row>
    <row r="139">
      <c r="A139" s="22" t="n"/>
      <c r="B139" s="19" t="n"/>
      <c r="C139" s="19" t="n"/>
      <c r="D139" s="18">
        <f>IF(C139="","",IFERROR(INDEX('Quy dinh'!$B$14:$B$18,MATCH(C139,'Quy dinh'!$A$14:$A$18,0)),"Mã lỗi không hợp lệ"))</f>
        <v/>
      </c>
      <c r="E139" s="7">
        <f>IF(C139="","",IFERROR(INDEX('Quy dinh'!$C$14:$C$18,MATCH(C139,'Quy dinh'!$A$14:$A$18,0)),0))</f>
        <v/>
      </c>
      <c r="F139" s="19" t="n"/>
      <c r="G139" s="19" t="n"/>
      <c r="H139" s="17">
        <f>IF(A139="","",TEXT(A139,"yyyy-mm"))</f>
        <v/>
      </c>
    </row>
    <row r="140">
      <c r="A140" s="22" t="n"/>
      <c r="B140" s="19" t="n"/>
      <c r="C140" s="19" t="n"/>
      <c r="D140" s="18">
        <f>IF(C140="","",IFERROR(INDEX('Quy dinh'!$B$14:$B$18,MATCH(C140,'Quy dinh'!$A$14:$A$18,0)),"Mã lỗi không hợp lệ"))</f>
        <v/>
      </c>
      <c r="E140" s="7">
        <f>IF(C140="","",IFERROR(INDEX('Quy dinh'!$C$14:$C$18,MATCH(C140,'Quy dinh'!$A$14:$A$18,0)),0))</f>
        <v/>
      </c>
      <c r="F140" s="19" t="n"/>
      <c r="G140" s="19" t="n"/>
      <c r="H140" s="17">
        <f>IF(A140="","",TEXT(A140,"yyyy-mm"))</f>
        <v/>
      </c>
    </row>
    <row r="141">
      <c r="A141" s="22" t="n"/>
      <c r="B141" s="19" t="n"/>
      <c r="C141" s="19" t="n"/>
      <c r="D141" s="18">
        <f>IF(C141="","",IFERROR(INDEX('Quy dinh'!$B$14:$B$18,MATCH(C141,'Quy dinh'!$A$14:$A$18,0)),"Mã lỗi không hợp lệ"))</f>
        <v/>
      </c>
      <c r="E141" s="7">
        <f>IF(C141="","",IFERROR(INDEX('Quy dinh'!$C$14:$C$18,MATCH(C141,'Quy dinh'!$A$14:$A$18,0)),0))</f>
        <v/>
      </c>
      <c r="F141" s="19" t="n"/>
      <c r="G141" s="19" t="n"/>
      <c r="H141" s="17">
        <f>IF(A141="","",TEXT(A141,"yyyy-mm"))</f>
        <v/>
      </c>
    </row>
    <row r="142">
      <c r="A142" s="22" t="n"/>
      <c r="B142" s="19" t="n"/>
      <c r="C142" s="19" t="n"/>
      <c r="D142" s="18">
        <f>IF(C142="","",IFERROR(INDEX('Quy dinh'!$B$14:$B$18,MATCH(C142,'Quy dinh'!$A$14:$A$18,0)),"Mã lỗi không hợp lệ"))</f>
        <v/>
      </c>
      <c r="E142" s="7">
        <f>IF(C142="","",IFERROR(INDEX('Quy dinh'!$C$14:$C$18,MATCH(C142,'Quy dinh'!$A$14:$A$18,0)),0))</f>
        <v/>
      </c>
      <c r="F142" s="19" t="n"/>
      <c r="G142" s="19" t="n"/>
      <c r="H142" s="17">
        <f>IF(A142="","",TEXT(A142,"yyyy-mm"))</f>
        <v/>
      </c>
    </row>
    <row r="143">
      <c r="A143" s="22" t="n"/>
      <c r="B143" s="19" t="n"/>
      <c r="C143" s="19" t="n"/>
      <c r="D143" s="18">
        <f>IF(C143="","",IFERROR(INDEX('Quy dinh'!$B$14:$B$18,MATCH(C143,'Quy dinh'!$A$14:$A$18,0)),"Mã lỗi không hợp lệ"))</f>
        <v/>
      </c>
      <c r="E143" s="7">
        <f>IF(C143="","",IFERROR(INDEX('Quy dinh'!$C$14:$C$18,MATCH(C143,'Quy dinh'!$A$14:$A$18,0)),0))</f>
        <v/>
      </c>
      <c r="F143" s="19" t="n"/>
      <c r="G143" s="19" t="n"/>
      <c r="H143" s="17">
        <f>IF(A143="","",TEXT(A143,"yyyy-mm"))</f>
        <v/>
      </c>
    </row>
    <row r="144">
      <c r="A144" s="22" t="n"/>
      <c r="B144" s="19" t="n"/>
      <c r="C144" s="19" t="n"/>
      <c r="D144" s="18">
        <f>IF(C144="","",IFERROR(INDEX('Quy dinh'!$B$14:$B$18,MATCH(C144,'Quy dinh'!$A$14:$A$18,0)),"Mã lỗi không hợp lệ"))</f>
        <v/>
      </c>
      <c r="E144" s="7">
        <f>IF(C144="","",IFERROR(INDEX('Quy dinh'!$C$14:$C$18,MATCH(C144,'Quy dinh'!$A$14:$A$18,0)),0))</f>
        <v/>
      </c>
      <c r="F144" s="19" t="n"/>
      <c r="G144" s="19" t="n"/>
      <c r="H144" s="17">
        <f>IF(A144="","",TEXT(A144,"yyyy-mm"))</f>
        <v/>
      </c>
    </row>
    <row r="145">
      <c r="A145" s="22" t="n"/>
      <c r="B145" s="19" t="n"/>
      <c r="C145" s="19" t="n"/>
      <c r="D145" s="18">
        <f>IF(C145="","",IFERROR(INDEX('Quy dinh'!$B$14:$B$18,MATCH(C145,'Quy dinh'!$A$14:$A$18,0)),"Mã lỗi không hợp lệ"))</f>
        <v/>
      </c>
      <c r="E145" s="7">
        <f>IF(C145="","",IFERROR(INDEX('Quy dinh'!$C$14:$C$18,MATCH(C145,'Quy dinh'!$A$14:$A$18,0)),0))</f>
        <v/>
      </c>
      <c r="F145" s="19" t="n"/>
      <c r="G145" s="19" t="n"/>
      <c r="H145" s="17">
        <f>IF(A145="","",TEXT(A145,"yyyy-mm"))</f>
        <v/>
      </c>
    </row>
    <row r="146">
      <c r="A146" s="22" t="n"/>
      <c r="B146" s="19" t="n"/>
      <c r="C146" s="19" t="n"/>
      <c r="D146" s="18">
        <f>IF(C146="","",IFERROR(INDEX('Quy dinh'!$B$14:$B$18,MATCH(C146,'Quy dinh'!$A$14:$A$18,0)),"Mã lỗi không hợp lệ"))</f>
        <v/>
      </c>
      <c r="E146" s="7">
        <f>IF(C146="","",IFERROR(INDEX('Quy dinh'!$C$14:$C$18,MATCH(C146,'Quy dinh'!$A$14:$A$18,0)),0))</f>
        <v/>
      </c>
      <c r="F146" s="19" t="n"/>
      <c r="G146" s="19" t="n"/>
      <c r="H146" s="17">
        <f>IF(A146="","",TEXT(A146,"yyyy-mm"))</f>
        <v/>
      </c>
    </row>
    <row r="147">
      <c r="A147" s="22" t="n"/>
      <c r="B147" s="19" t="n"/>
      <c r="C147" s="19" t="n"/>
      <c r="D147" s="18">
        <f>IF(C147="","",IFERROR(INDEX('Quy dinh'!$B$14:$B$18,MATCH(C147,'Quy dinh'!$A$14:$A$18,0)),"Mã lỗi không hợp lệ"))</f>
        <v/>
      </c>
      <c r="E147" s="7">
        <f>IF(C147="","",IFERROR(INDEX('Quy dinh'!$C$14:$C$18,MATCH(C147,'Quy dinh'!$A$14:$A$18,0)),0))</f>
        <v/>
      </c>
      <c r="F147" s="19" t="n"/>
      <c r="G147" s="19" t="n"/>
      <c r="H147" s="17">
        <f>IF(A147="","",TEXT(A147,"yyyy-mm"))</f>
        <v/>
      </c>
    </row>
    <row r="148">
      <c r="A148" s="22" t="n"/>
      <c r="B148" s="19" t="n"/>
      <c r="C148" s="19" t="n"/>
      <c r="D148" s="18">
        <f>IF(C148="","",IFERROR(INDEX('Quy dinh'!$B$14:$B$18,MATCH(C148,'Quy dinh'!$A$14:$A$18,0)),"Mã lỗi không hợp lệ"))</f>
        <v/>
      </c>
      <c r="E148" s="7">
        <f>IF(C148="","",IFERROR(INDEX('Quy dinh'!$C$14:$C$18,MATCH(C148,'Quy dinh'!$A$14:$A$18,0)),0))</f>
        <v/>
      </c>
      <c r="F148" s="19" t="n"/>
      <c r="G148" s="19" t="n"/>
      <c r="H148" s="17">
        <f>IF(A148="","",TEXT(A148,"yyyy-mm"))</f>
        <v/>
      </c>
    </row>
    <row r="149">
      <c r="A149" s="22" t="n"/>
      <c r="B149" s="19" t="n"/>
      <c r="C149" s="19" t="n"/>
      <c r="D149" s="18">
        <f>IF(C149="","",IFERROR(INDEX('Quy dinh'!$B$14:$B$18,MATCH(C149,'Quy dinh'!$A$14:$A$18,0)),"Mã lỗi không hợp lệ"))</f>
        <v/>
      </c>
      <c r="E149" s="7">
        <f>IF(C149="","",IFERROR(INDEX('Quy dinh'!$C$14:$C$18,MATCH(C149,'Quy dinh'!$A$14:$A$18,0)),0))</f>
        <v/>
      </c>
      <c r="F149" s="19" t="n"/>
      <c r="G149" s="19" t="n"/>
      <c r="H149" s="17">
        <f>IF(A149="","",TEXT(A149,"yyyy-mm"))</f>
        <v/>
      </c>
    </row>
    <row r="150">
      <c r="A150" s="22" t="n"/>
      <c r="B150" s="19" t="n"/>
      <c r="C150" s="19" t="n"/>
      <c r="D150" s="18">
        <f>IF(C150="","",IFERROR(INDEX('Quy dinh'!$B$14:$B$18,MATCH(C150,'Quy dinh'!$A$14:$A$18,0)),"Mã lỗi không hợp lệ"))</f>
        <v/>
      </c>
      <c r="E150" s="7">
        <f>IF(C150="","",IFERROR(INDEX('Quy dinh'!$C$14:$C$18,MATCH(C150,'Quy dinh'!$A$14:$A$18,0)),0))</f>
        <v/>
      </c>
      <c r="F150" s="19" t="n"/>
      <c r="G150" s="19" t="n"/>
      <c r="H150" s="17">
        <f>IF(A150="","",TEXT(A150,"yyyy-mm"))</f>
        <v/>
      </c>
    </row>
    <row r="151">
      <c r="A151" s="22" t="n"/>
      <c r="B151" s="19" t="n"/>
      <c r="C151" s="19" t="n"/>
      <c r="D151" s="18">
        <f>IF(C151="","",IFERROR(INDEX('Quy dinh'!$B$14:$B$18,MATCH(C151,'Quy dinh'!$A$14:$A$18,0)),"Mã lỗi không hợp lệ"))</f>
        <v/>
      </c>
      <c r="E151" s="7">
        <f>IF(C151="","",IFERROR(INDEX('Quy dinh'!$C$14:$C$18,MATCH(C151,'Quy dinh'!$A$14:$A$18,0)),0))</f>
        <v/>
      </c>
      <c r="F151" s="19" t="n"/>
      <c r="G151" s="19" t="n"/>
      <c r="H151" s="17">
        <f>IF(A151="","",TEXT(A151,"yyyy-mm"))</f>
        <v/>
      </c>
    </row>
    <row r="152">
      <c r="A152" s="22" t="n"/>
      <c r="B152" s="19" t="n"/>
      <c r="C152" s="19" t="n"/>
      <c r="D152" s="18">
        <f>IF(C152="","",IFERROR(INDEX('Quy dinh'!$B$14:$B$18,MATCH(C152,'Quy dinh'!$A$14:$A$18,0)),"Mã lỗi không hợp lệ"))</f>
        <v/>
      </c>
      <c r="E152" s="7">
        <f>IF(C152="","",IFERROR(INDEX('Quy dinh'!$C$14:$C$18,MATCH(C152,'Quy dinh'!$A$14:$A$18,0)),0))</f>
        <v/>
      </c>
      <c r="F152" s="19" t="n"/>
      <c r="G152" s="19" t="n"/>
      <c r="H152" s="17">
        <f>IF(A152="","",TEXT(A152,"yyyy-mm"))</f>
        <v/>
      </c>
    </row>
    <row r="153">
      <c r="A153" s="22" t="n"/>
      <c r="B153" s="19" t="n"/>
      <c r="C153" s="19" t="n"/>
      <c r="D153" s="18">
        <f>IF(C153="","",IFERROR(INDEX('Quy dinh'!$B$14:$B$18,MATCH(C153,'Quy dinh'!$A$14:$A$18,0)),"Mã lỗi không hợp lệ"))</f>
        <v/>
      </c>
      <c r="E153" s="7">
        <f>IF(C153="","",IFERROR(INDEX('Quy dinh'!$C$14:$C$18,MATCH(C153,'Quy dinh'!$A$14:$A$18,0)),0))</f>
        <v/>
      </c>
      <c r="F153" s="19" t="n"/>
      <c r="G153" s="19" t="n"/>
      <c r="H153" s="17">
        <f>IF(A153="","",TEXT(A153,"yyyy-mm"))</f>
        <v/>
      </c>
    </row>
    <row r="154">
      <c r="A154" s="22" t="n"/>
      <c r="B154" s="19" t="n"/>
      <c r="C154" s="19" t="n"/>
      <c r="D154" s="18">
        <f>IF(C154="","",IFERROR(INDEX('Quy dinh'!$B$14:$B$18,MATCH(C154,'Quy dinh'!$A$14:$A$18,0)),"Mã lỗi không hợp lệ"))</f>
        <v/>
      </c>
      <c r="E154" s="7">
        <f>IF(C154="","",IFERROR(INDEX('Quy dinh'!$C$14:$C$18,MATCH(C154,'Quy dinh'!$A$14:$A$18,0)),0))</f>
        <v/>
      </c>
      <c r="F154" s="19" t="n"/>
      <c r="G154" s="19" t="n"/>
      <c r="H154" s="17">
        <f>IF(A154="","",TEXT(A154,"yyyy-mm"))</f>
        <v/>
      </c>
    </row>
    <row r="155">
      <c r="A155" s="22" t="n"/>
      <c r="B155" s="19" t="n"/>
      <c r="C155" s="19" t="n"/>
      <c r="D155" s="18">
        <f>IF(C155="","",IFERROR(INDEX('Quy dinh'!$B$14:$B$18,MATCH(C155,'Quy dinh'!$A$14:$A$18,0)),"Mã lỗi không hợp lệ"))</f>
        <v/>
      </c>
      <c r="E155" s="7">
        <f>IF(C155="","",IFERROR(INDEX('Quy dinh'!$C$14:$C$18,MATCH(C155,'Quy dinh'!$A$14:$A$18,0)),0))</f>
        <v/>
      </c>
      <c r="F155" s="19" t="n"/>
      <c r="G155" s="19" t="n"/>
      <c r="H155" s="17">
        <f>IF(A155="","",TEXT(A155,"yyyy-mm"))</f>
        <v/>
      </c>
    </row>
    <row r="156">
      <c r="A156" s="22" t="n"/>
      <c r="B156" s="19" t="n"/>
      <c r="C156" s="19" t="n"/>
      <c r="D156" s="18">
        <f>IF(C156="","",IFERROR(INDEX('Quy dinh'!$B$14:$B$18,MATCH(C156,'Quy dinh'!$A$14:$A$18,0)),"Mã lỗi không hợp lệ"))</f>
        <v/>
      </c>
      <c r="E156" s="7">
        <f>IF(C156="","",IFERROR(INDEX('Quy dinh'!$C$14:$C$18,MATCH(C156,'Quy dinh'!$A$14:$A$18,0)),0))</f>
        <v/>
      </c>
      <c r="F156" s="19" t="n"/>
      <c r="G156" s="19" t="n"/>
      <c r="H156" s="17">
        <f>IF(A156="","",TEXT(A156,"yyyy-mm"))</f>
        <v/>
      </c>
    </row>
    <row r="157">
      <c r="A157" s="22" t="n"/>
      <c r="B157" s="19" t="n"/>
      <c r="C157" s="19" t="n"/>
      <c r="D157" s="18">
        <f>IF(C157="","",IFERROR(INDEX('Quy dinh'!$B$14:$B$18,MATCH(C157,'Quy dinh'!$A$14:$A$18,0)),"Mã lỗi không hợp lệ"))</f>
        <v/>
      </c>
      <c r="E157" s="7">
        <f>IF(C157="","",IFERROR(INDEX('Quy dinh'!$C$14:$C$18,MATCH(C157,'Quy dinh'!$A$14:$A$18,0)),0))</f>
        <v/>
      </c>
      <c r="F157" s="19" t="n"/>
      <c r="G157" s="19" t="n"/>
      <c r="H157" s="17">
        <f>IF(A157="","",TEXT(A157,"yyyy-mm"))</f>
        <v/>
      </c>
    </row>
    <row r="158">
      <c r="A158" s="22" t="n"/>
      <c r="B158" s="19" t="n"/>
      <c r="C158" s="19" t="n"/>
      <c r="D158" s="18">
        <f>IF(C158="","",IFERROR(INDEX('Quy dinh'!$B$14:$B$18,MATCH(C158,'Quy dinh'!$A$14:$A$18,0)),"Mã lỗi không hợp lệ"))</f>
        <v/>
      </c>
      <c r="E158" s="7">
        <f>IF(C158="","",IFERROR(INDEX('Quy dinh'!$C$14:$C$18,MATCH(C158,'Quy dinh'!$A$14:$A$18,0)),0))</f>
        <v/>
      </c>
      <c r="F158" s="19" t="n"/>
      <c r="G158" s="19" t="n"/>
      <c r="H158" s="17">
        <f>IF(A158="","",TEXT(A158,"yyyy-mm"))</f>
        <v/>
      </c>
    </row>
    <row r="159">
      <c r="A159" s="22" t="n"/>
      <c r="B159" s="19" t="n"/>
      <c r="C159" s="19" t="n"/>
      <c r="D159" s="18">
        <f>IF(C159="","",IFERROR(INDEX('Quy dinh'!$B$14:$B$18,MATCH(C159,'Quy dinh'!$A$14:$A$18,0)),"Mã lỗi không hợp lệ"))</f>
        <v/>
      </c>
      <c r="E159" s="7">
        <f>IF(C159="","",IFERROR(INDEX('Quy dinh'!$C$14:$C$18,MATCH(C159,'Quy dinh'!$A$14:$A$18,0)),0))</f>
        <v/>
      </c>
      <c r="F159" s="19" t="n"/>
      <c r="G159" s="19" t="n"/>
      <c r="H159" s="17">
        <f>IF(A159="","",TEXT(A159,"yyyy-mm"))</f>
        <v/>
      </c>
    </row>
    <row r="160">
      <c r="A160" s="22" t="n"/>
      <c r="B160" s="19" t="n"/>
      <c r="C160" s="19" t="n"/>
      <c r="D160" s="18">
        <f>IF(C160="","",IFERROR(INDEX('Quy dinh'!$B$14:$B$18,MATCH(C160,'Quy dinh'!$A$14:$A$18,0)),"Mã lỗi không hợp lệ"))</f>
        <v/>
      </c>
      <c r="E160" s="7">
        <f>IF(C160="","",IFERROR(INDEX('Quy dinh'!$C$14:$C$18,MATCH(C160,'Quy dinh'!$A$14:$A$18,0)),0))</f>
        <v/>
      </c>
      <c r="F160" s="19" t="n"/>
      <c r="G160" s="19" t="n"/>
      <c r="H160" s="17">
        <f>IF(A160="","",TEXT(A160,"yyyy-mm"))</f>
        <v/>
      </c>
    </row>
    <row r="161">
      <c r="A161" s="22" t="n"/>
      <c r="B161" s="19" t="n"/>
      <c r="C161" s="19" t="n"/>
      <c r="D161" s="18">
        <f>IF(C161="","",IFERROR(INDEX('Quy dinh'!$B$14:$B$18,MATCH(C161,'Quy dinh'!$A$14:$A$18,0)),"Mã lỗi không hợp lệ"))</f>
        <v/>
      </c>
      <c r="E161" s="7">
        <f>IF(C161="","",IFERROR(INDEX('Quy dinh'!$C$14:$C$18,MATCH(C161,'Quy dinh'!$A$14:$A$18,0)),0))</f>
        <v/>
      </c>
      <c r="F161" s="19" t="n"/>
      <c r="G161" s="19" t="n"/>
      <c r="H161" s="17">
        <f>IF(A161="","",TEXT(A161,"yyyy-mm"))</f>
        <v/>
      </c>
    </row>
    <row r="162">
      <c r="A162" s="22" t="n"/>
      <c r="B162" s="19" t="n"/>
      <c r="C162" s="19" t="n"/>
      <c r="D162" s="18">
        <f>IF(C162="","",IFERROR(INDEX('Quy dinh'!$B$14:$B$18,MATCH(C162,'Quy dinh'!$A$14:$A$18,0)),"Mã lỗi không hợp lệ"))</f>
        <v/>
      </c>
      <c r="E162" s="7">
        <f>IF(C162="","",IFERROR(INDEX('Quy dinh'!$C$14:$C$18,MATCH(C162,'Quy dinh'!$A$14:$A$18,0)),0))</f>
        <v/>
      </c>
      <c r="F162" s="19" t="n"/>
      <c r="G162" s="19" t="n"/>
      <c r="H162" s="17">
        <f>IF(A162="","",TEXT(A162,"yyyy-mm"))</f>
        <v/>
      </c>
    </row>
    <row r="163">
      <c r="A163" s="22" t="n"/>
      <c r="B163" s="19" t="n"/>
      <c r="C163" s="19" t="n"/>
      <c r="D163" s="18">
        <f>IF(C163="","",IFERROR(INDEX('Quy dinh'!$B$14:$B$18,MATCH(C163,'Quy dinh'!$A$14:$A$18,0)),"Mã lỗi không hợp lệ"))</f>
        <v/>
      </c>
      <c r="E163" s="7">
        <f>IF(C163="","",IFERROR(INDEX('Quy dinh'!$C$14:$C$18,MATCH(C163,'Quy dinh'!$A$14:$A$18,0)),0))</f>
        <v/>
      </c>
      <c r="F163" s="19" t="n"/>
      <c r="G163" s="19" t="n"/>
      <c r="H163" s="17">
        <f>IF(A163="","",TEXT(A163,"yyyy-mm"))</f>
        <v/>
      </c>
    </row>
    <row r="164">
      <c r="A164" s="22" t="n"/>
      <c r="B164" s="19" t="n"/>
      <c r="C164" s="19" t="n"/>
      <c r="D164" s="18">
        <f>IF(C164="","",IFERROR(INDEX('Quy dinh'!$B$14:$B$18,MATCH(C164,'Quy dinh'!$A$14:$A$18,0)),"Mã lỗi không hợp lệ"))</f>
        <v/>
      </c>
      <c r="E164" s="7">
        <f>IF(C164="","",IFERROR(INDEX('Quy dinh'!$C$14:$C$18,MATCH(C164,'Quy dinh'!$A$14:$A$18,0)),0))</f>
        <v/>
      </c>
      <c r="F164" s="19" t="n"/>
      <c r="G164" s="19" t="n"/>
      <c r="H164" s="17">
        <f>IF(A164="","",TEXT(A164,"yyyy-mm"))</f>
        <v/>
      </c>
    </row>
    <row r="165">
      <c r="A165" s="22" t="n"/>
      <c r="B165" s="19" t="n"/>
      <c r="C165" s="19" t="n"/>
      <c r="D165" s="18">
        <f>IF(C165="","",IFERROR(INDEX('Quy dinh'!$B$14:$B$18,MATCH(C165,'Quy dinh'!$A$14:$A$18,0)),"Mã lỗi không hợp lệ"))</f>
        <v/>
      </c>
      <c r="E165" s="7">
        <f>IF(C165="","",IFERROR(INDEX('Quy dinh'!$C$14:$C$18,MATCH(C165,'Quy dinh'!$A$14:$A$18,0)),0))</f>
        <v/>
      </c>
      <c r="F165" s="19" t="n"/>
      <c r="G165" s="19" t="n"/>
      <c r="H165" s="17">
        <f>IF(A165="","",TEXT(A165,"yyyy-mm"))</f>
        <v/>
      </c>
    </row>
    <row r="166">
      <c r="A166" s="22" t="n"/>
      <c r="B166" s="19" t="n"/>
      <c r="C166" s="19" t="n"/>
      <c r="D166" s="18">
        <f>IF(C166="","",IFERROR(INDEX('Quy dinh'!$B$14:$B$18,MATCH(C166,'Quy dinh'!$A$14:$A$18,0)),"Mã lỗi không hợp lệ"))</f>
        <v/>
      </c>
      <c r="E166" s="7">
        <f>IF(C166="","",IFERROR(INDEX('Quy dinh'!$C$14:$C$18,MATCH(C166,'Quy dinh'!$A$14:$A$18,0)),0))</f>
        <v/>
      </c>
      <c r="F166" s="19" t="n"/>
      <c r="G166" s="19" t="n"/>
      <c r="H166" s="17">
        <f>IF(A166="","",TEXT(A166,"yyyy-mm"))</f>
        <v/>
      </c>
    </row>
    <row r="167">
      <c r="A167" s="22" t="n"/>
      <c r="B167" s="19" t="n"/>
      <c r="C167" s="19" t="n"/>
      <c r="D167" s="18">
        <f>IF(C167="","",IFERROR(INDEX('Quy dinh'!$B$14:$B$18,MATCH(C167,'Quy dinh'!$A$14:$A$18,0)),"Mã lỗi không hợp lệ"))</f>
        <v/>
      </c>
      <c r="E167" s="7">
        <f>IF(C167="","",IFERROR(INDEX('Quy dinh'!$C$14:$C$18,MATCH(C167,'Quy dinh'!$A$14:$A$18,0)),0))</f>
        <v/>
      </c>
      <c r="F167" s="19" t="n"/>
      <c r="G167" s="19" t="n"/>
      <c r="H167" s="17">
        <f>IF(A167="","",TEXT(A167,"yyyy-mm"))</f>
        <v/>
      </c>
    </row>
    <row r="168">
      <c r="A168" s="22" t="n"/>
      <c r="B168" s="19" t="n"/>
      <c r="C168" s="19" t="n"/>
      <c r="D168" s="18">
        <f>IF(C168="","",IFERROR(INDEX('Quy dinh'!$B$14:$B$18,MATCH(C168,'Quy dinh'!$A$14:$A$18,0)),"Mã lỗi không hợp lệ"))</f>
        <v/>
      </c>
      <c r="E168" s="7">
        <f>IF(C168="","",IFERROR(INDEX('Quy dinh'!$C$14:$C$18,MATCH(C168,'Quy dinh'!$A$14:$A$18,0)),0))</f>
        <v/>
      </c>
      <c r="F168" s="19" t="n"/>
      <c r="G168" s="19" t="n"/>
      <c r="H168" s="17">
        <f>IF(A168="","",TEXT(A168,"yyyy-mm"))</f>
        <v/>
      </c>
    </row>
    <row r="169">
      <c r="A169" s="22" t="n"/>
      <c r="B169" s="19" t="n"/>
      <c r="C169" s="19" t="n"/>
      <c r="D169" s="18">
        <f>IF(C169="","",IFERROR(INDEX('Quy dinh'!$B$14:$B$18,MATCH(C169,'Quy dinh'!$A$14:$A$18,0)),"Mã lỗi không hợp lệ"))</f>
        <v/>
      </c>
      <c r="E169" s="7">
        <f>IF(C169="","",IFERROR(INDEX('Quy dinh'!$C$14:$C$18,MATCH(C169,'Quy dinh'!$A$14:$A$18,0)),0))</f>
        <v/>
      </c>
      <c r="F169" s="19" t="n"/>
      <c r="G169" s="19" t="n"/>
      <c r="H169" s="17">
        <f>IF(A169="","",TEXT(A169,"yyyy-mm"))</f>
        <v/>
      </c>
    </row>
    <row r="170">
      <c r="A170" s="22" t="n"/>
      <c r="B170" s="19" t="n"/>
      <c r="C170" s="19" t="n"/>
      <c r="D170" s="18">
        <f>IF(C170="","",IFERROR(INDEX('Quy dinh'!$B$14:$B$18,MATCH(C170,'Quy dinh'!$A$14:$A$18,0)),"Mã lỗi không hợp lệ"))</f>
        <v/>
      </c>
      <c r="E170" s="7">
        <f>IF(C170="","",IFERROR(INDEX('Quy dinh'!$C$14:$C$18,MATCH(C170,'Quy dinh'!$A$14:$A$18,0)),0))</f>
        <v/>
      </c>
      <c r="F170" s="19" t="n"/>
      <c r="G170" s="19" t="n"/>
      <c r="H170" s="17">
        <f>IF(A170="","",TEXT(A170,"yyyy-mm"))</f>
        <v/>
      </c>
    </row>
    <row r="171">
      <c r="A171" s="22" t="n"/>
      <c r="B171" s="19" t="n"/>
      <c r="C171" s="19" t="n"/>
      <c r="D171" s="18">
        <f>IF(C171="","",IFERROR(INDEX('Quy dinh'!$B$14:$B$18,MATCH(C171,'Quy dinh'!$A$14:$A$18,0)),"Mã lỗi không hợp lệ"))</f>
        <v/>
      </c>
      <c r="E171" s="7">
        <f>IF(C171="","",IFERROR(INDEX('Quy dinh'!$C$14:$C$18,MATCH(C171,'Quy dinh'!$A$14:$A$18,0)),0))</f>
        <v/>
      </c>
      <c r="F171" s="19" t="n"/>
      <c r="G171" s="19" t="n"/>
      <c r="H171" s="17">
        <f>IF(A171="","",TEXT(A171,"yyyy-mm"))</f>
        <v/>
      </c>
    </row>
    <row r="172">
      <c r="A172" s="22" t="n"/>
      <c r="B172" s="19" t="n"/>
      <c r="C172" s="19" t="n"/>
      <c r="D172" s="18">
        <f>IF(C172="","",IFERROR(INDEX('Quy dinh'!$B$14:$B$18,MATCH(C172,'Quy dinh'!$A$14:$A$18,0)),"Mã lỗi không hợp lệ"))</f>
        <v/>
      </c>
      <c r="E172" s="7">
        <f>IF(C172="","",IFERROR(INDEX('Quy dinh'!$C$14:$C$18,MATCH(C172,'Quy dinh'!$A$14:$A$18,0)),0))</f>
        <v/>
      </c>
      <c r="F172" s="19" t="n"/>
      <c r="G172" s="19" t="n"/>
      <c r="H172" s="17">
        <f>IF(A172="","",TEXT(A172,"yyyy-mm"))</f>
        <v/>
      </c>
    </row>
    <row r="173">
      <c r="A173" s="22" t="n"/>
      <c r="B173" s="19" t="n"/>
      <c r="C173" s="19" t="n"/>
      <c r="D173" s="18">
        <f>IF(C173="","",IFERROR(INDEX('Quy dinh'!$B$14:$B$18,MATCH(C173,'Quy dinh'!$A$14:$A$18,0)),"Mã lỗi không hợp lệ"))</f>
        <v/>
      </c>
      <c r="E173" s="7">
        <f>IF(C173="","",IFERROR(INDEX('Quy dinh'!$C$14:$C$18,MATCH(C173,'Quy dinh'!$A$14:$A$18,0)),0))</f>
        <v/>
      </c>
      <c r="F173" s="19" t="n"/>
      <c r="G173" s="19" t="n"/>
      <c r="H173" s="17">
        <f>IF(A173="","",TEXT(A173,"yyyy-mm"))</f>
        <v/>
      </c>
    </row>
    <row r="174">
      <c r="A174" s="22" t="n"/>
      <c r="B174" s="19" t="n"/>
      <c r="C174" s="19" t="n"/>
      <c r="D174" s="18">
        <f>IF(C174="","",IFERROR(INDEX('Quy dinh'!$B$14:$B$18,MATCH(C174,'Quy dinh'!$A$14:$A$18,0)),"Mã lỗi không hợp lệ"))</f>
        <v/>
      </c>
      <c r="E174" s="7">
        <f>IF(C174="","",IFERROR(INDEX('Quy dinh'!$C$14:$C$18,MATCH(C174,'Quy dinh'!$A$14:$A$18,0)),0))</f>
        <v/>
      </c>
      <c r="F174" s="19" t="n"/>
      <c r="G174" s="19" t="n"/>
      <c r="H174" s="17">
        <f>IF(A174="","",TEXT(A174,"yyyy-mm"))</f>
        <v/>
      </c>
    </row>
    <row r="175">
      <c r="A175" s="22" t="n"/>
      <c r="B175" s="19" t="n"/>
      <c r="C175" s="19" t="n"/>
      <c r="D175" s="18">
        <f>IF(C175="","",IFERROR(INDEX('Quy dinh'!$B$14:$B$18,MATCH(C175,'Quy dinh'!$A$14:$A$18,0)),"Mã lỗi không hợp lệ"))</f>
        <v/>
      </c>
      <c r="E175" s="7">
        <f>IF(C175="","",IFERROR(INDEX('Quy dinh'!$C$14:$C$18,MATCH(C175,'Quy dinh'!$A$14:$A$18,0)),0))</f>
        <v/>
      </c>
      <c r="F175" s="19" t="n"/>
      <c r="G175" s="19" t="n"/>
      <c r="H175" s="17">
        <f>IF(A175="","",TEXT(A175,"yyyy-mm"))</f>
        <v/>
      </c>
    </row>
    <row r="176">
      <c r="A176" s="22" t="n"/>
      <c r="B176" s="19" t="n"/>
      <c r="C176" s="19" t="n"/>
      <c r="D176" s="18">
        <f>IF(C176="","",IFERROR(INDEX('Quy dinh'!$B$14:$B$18,MATCH(C176,'Quy dinh'!$A$14:$A$18,0)),"Mã lỗi không hợp lệ"))</f>
        <v/>
      </c>
      <c r="E176" s="7">
        <f>IF(C176="","",IFERROR(INDEX('Quy dinh'!$C$14:$C$18,MATCH(C176,'Quy dinh'!$A$14:$A$18,0)),0))</f>
        <v/>
      </c>
      <c r="F176" s="19" t="n"/>
      <c r="G176" s="19" t="n"/>
      <c r="H176" s="17">
        <f>IF(A176="","",TEXT(A176,"yyyy-mm"))</f>
        <v/>
      </c>
    </row>
    <row r="177">
      <c r="A177" s="22" t="n"/>
      <c r="B177" s="19" t="n"/>
      <c r="C177" s="19" t="n"/>
      <c r="D177" s="18">
        <f>IF(C177="","",IFERROR(INDEX('Quy dinh'!$B$14:$B$18,MATCH(C177,'Quy dinh'!$A$14:$A$18,0)),"Mã lỗi không hợp lệ"))</f>
        <v/>
      </c>
      <c r="E177" s="7">
        <f>IF(C177="","",IFERROR(INDEX('Quy dinh'!$C$14:$C$18,MATCH(C177,'Quy dinh'!$A$14:$A$18,0)),0))</f>
        <v/>
      </c>
      <c r="F177" s="19" t="n"/>
      <c r="G177" s="19" t="n"/>
      <c r="H177" s="17">
        <f>IF(A177="","",TEXT(A177,"yyyy-mm"))</f>
        <v/>
      </c>
    </row>
    <row r="178">
      <c r="A178" s="22" t="n"/>
      <c r="B178" s="19" t="n"/>
      <c r="C178" s="19" t="n"/>
      <c r="D178" s="18">
        <f>IF(C178="","",IFERROR(INDEX('Quy dinh'!$B$14:$B$18,MATCH(C178,'Quy dinh'!$A$14:$A$18,0)),"Mã lỗi không hợp lệ"))</f>
        <v/>
      </c>
      <c r="E178" s="7">
        <f>IF(C178="","",IFERROR(INDEX('Quy dinh'!$C$14:$C$18,MATCH(C178,'Quy dinh'!$A$14:$A$18,0)),0))</f>
        <v/>
      </c>
      <c r="F178" s="19" t="n"/>
      <c r="G178" s="19" t="n"/>
      <c r="H178" s="17">
        <f>IF(A178="","",TEXT(A178,"yyyy-mm"))</f>
        <v/>
      </c>
    </row>
    <row r="179">
      <c r="A179" s="22" t="n"/>
      <c r="B179" s="19" t="n"/>
      <c r="C179" s="19" t="n"/>
      <c r="D179" s="18">
        <f>IF(C179="","",IFERROR(INDEX('Quy dinh'!$B$14:$B$18,MATCH(C179,'Quy dinh'!$A$14:$A$18,0)),"Mã lỗi không hợp lệ"))</f>
        <v/>
      </c>
      <c r="E179" s="7">
        <f>IF(C179="","",IFERROR(INDEX('Quy dinh'!$C$14:$C$18,MATCH(C179,'Quy dinh'!$A$14:$A$18,0)),0))</f>
        <v/>
      </c>
      <c r="F179" s="19" t="n"/>
      <c r="G179" s="19" t="n"/>
      <c r="H179" s="17">
        <f>IF(A179="","",TEXT(A179,"yyyy-mm"))</f>
        <v/>
      </c>
    </row>
    <row r="180">
      <c r="A180" s="22" t="n"/>
      <c r="B180" s="19" t="n"/>
      <c r="C180" s="19" t="n"/>
      <c r="D180" s="18">
        <f>IF(C180="","",IFERROR(INDEX('Quy dinh'!$B$14:$B$18,MATCH(C180,'Quy dinh'!$A$14:$A$18,0)),"Mã lỗi không hợp lệ"))</f>
        <v/>
      </c>
      <c r="E180" s="7">
        <f>IF(C180="","",IFERROR(INDEX('Quy dinh'!$C$14:$C$18,MATCH(C180,'Quy dinh'!$A$14:$A$18,0)),0))</f>
        <v/>
      </c>
      <c r="F180" s="19" t="n"/>
      <c r="G180" s="19" t="n"/>
      <c r="H180" s="17">
        <f>IF(A180="","",TEXT(A180,"yyyy-mm"))</f>
        <v/>
      </c>
    </row>
    <row r="181">
      <c r="A181" s="22" t="n"/>
      <c r="B181" s="19" t="n"/>
      <c r="C181" s="19" t="n"/>
      <c r="D181" s="18">
        <f>IF(C181="","",IFERROR(INDEX('Quy dinh'!$B$14:$B$18,MATCH(C181,'Quy dinh'!$A$14:$A$18,0)),"Mã lỗi không hợp lệ"))</f>
        <v/>
      </c>
      <c r="E181" s="7">
        <f>IF(C181="","",IFERROR(INDEX('Quy dinh'!$C$14:$C$18,MATCH(C181,'Quy dinh'!$A$14:$A$18,0)),0))</f>
        <v/>
      </c>
      <c r="F181" s="19" t="n"/>
      <c r="G181" s="19" t="n"/>
      <c r="H181" s="17">
        <f>IF(A181="","",TEXT(A181,"yyyy-mm"))</f>
        <v/>
      </c>
    </row>
    <row r="182">
      <c r="A182" s="22" t="n"/>
      <c r="B182" s="19" t="n"/>
      <c r="C182" s="19" t="n"/>
      <c r="D182" s="18">
        <f>IF(C182="","",IFERROR(INDEX('Quy dinh'!$B$14:$B$18,MATCH(C182,'Quy dinh'!$A$14:$A$18,0)),"Mã lỗi không hợp lệ"))</f>
        <v/>
      </c>
      <c r="E182" s="7">
        <f>IF(C182="","",IFERROR(INDEX('Quy dinh'!$C$14:$C$18,MATCH(C182,'Quy dinh'!$A$14:$A$18,0)),0))</f>
        <v/>
      </c>
      <c r="F182" s="19" t="n"/>
      <c r="G182" s="19" t="n"/>
      <c r="H182" s="17">
        <f>IF(A182="","",TEXT(A182,"yyyy-mm"))</f>
        <v/>
      </c>
    </row>
    <row r="183">
      <c r="A183" s="22" t="n"/>
      <c r="B183" s="19" t="n"/>
      <c r="C183" s="19" t="n"/>
      <c r="D183" s="18">
        <f>IF(C183="","",IFERROR(INDEX('Quy dinh'!$B$14:$B$18,MATCH(C183,'Quy dinh'!$A$14:$A$18,0)),"Mã lỗi không hợp lệ"))</f>
        <v/>
      </c>
      <c r="E183" s="7">
        <f>IF(C183="","",IFERROR(INDEX('Quy dinh'!$C$14:$C$18,MATCH(C183,'Quy dinh'!$A$14:$A$18,0)),0))</f>
        <v/>
      </c>
      <c r="F183" s="19" t="n"/>
      <c r="G183" s="19" t="n"/>
      <c r="H183" s="17">
        <f>IF(A183="","",TEXT(A183,"yyyy-mm"))</f>
        <v/>
      </c>
    </row>
    <row r="184">
      <c r="A184" s="22" t="n"/>
      <c r="B184" s="19" t="n"/>
      <c r="C184" s="19" t="n"/>
      <c r="D184" s="18">
        <f>IF(C184="","",IFERROR(INDEX('Quy dinh'!$B$14:$B$18,MATCH(C184,'Quy dinh'!$A$14:$A$18,0)),"Mã lỗi không hợp lệ"))</f>
        <v/>
      </c>
      <c r="E184" s="7">
        <f>IF(C184="","",IFERROR(INDEX('Quy dinh'!$C$14:$C$18,MATCH(C184,'Quy dinh'!$A$14:$A$18,0)),0))</f>
        <v/>
      </c>
      <c r="F184" s="19" t="n"/>
      <c r="G184" s="19" t="n"/>
      <c r="H184" s="17">
        <f>IF(A184="","",TEXT(A184,"yyyy-mm"))</f>
        <v/>
      </c>
    </row>
    <row r="185">
      <c r="A185" s="22" t="n"/>
      <c r="B185" s="19" t="n"/>
      <c r="C185" s="19" t="n"/>
      <c r="D185" s="18">
        <f>IF(C185="","",IFERROR(INDEX('Quy dinh'!$B$14:$B$18,MATCH(C185,'Quy dinh'!$A$14:$A$18,0)),"Mã lỗi không hợp lệ"))</f>
        <v/>
      </c>
      <c r="E185" s="7">
        <f>IF(C185="","",IFERROR(INDEX('Quy dinh'!$C$14:$C$18,MATCH(C185,'Quy dinh'!$A$14:$A$18,0)),0))</f>
        <v/>
      </c>
      <c r="F185" s="19" t="n"/>
      <c r="G185" s="19" t="n"/>
      <c r="H185" s="17">
        <f>IF(A185="","",TEXT(A185,"yyyy-mm"))</f>
        <v/>
      </c>
    </row>
    <row r="186">
      <c r="A186" s="22" t="n"/>
      <c r="B186" s="19" t="n"/>
      <c r="C186" s="19" t="n"/>
      <c r="D186" s="18">
        <f>IF(C186="","",IFERROR(INDEX('Quy dinh'!$B$14:$B$18,MATCH(C186,'Quy dinh'!$A$14:$A$18,0)),"Mã lỗi không hợp lệ"))</f>
        <v/>
      </c>
      <c r="E186" s="7">
        <f>IF(C186="","",IFERROR(INDEX('Quy dinh'!$C$14:$C$18,MATCH(C186,'Quy dinh'!$A$14:$A$18,0)),0))</f>
        <v/>
      </c>
      <c r="F186" s="19" t="n"/>
      <c r="G186" s="19" t="n"/>
      <c r="H186" s="17">
        <f>IF(A186="","",TEXT(A186,"yyyy-mm"))</f>
        <v/>
      </c>
    </row>
    <row r="187">
      <c r="A187" s="22" t="n"/>
      <c r="B187" s="19" t="n"/>
      <c r="C187" s="19" t="n"/>
      <c r="D187" s="18">
        <f>IF(C187="","",IFERROR(INDEX('Quy dinh'!$B$14:$B$18,MATCH(C187,'Quy dinh'!$A$14:$A$18,0)),"Mã lỗi không hợp lệ"))</f>
        <v/>
      </c>
      <c r="E187" s="7">
        <f>IF(C187="","",IFERROR(INDEX('Quy dinh'!$C$14:$C$18,MATCH(C187,'Quy dinh'!$A$14:$A$18,0)),0))</f>
        <v/>
      </c>
      <c r="F187" s="19" t="n"/>
      <c r="G187" s="19" t="n"/>
      <c r="H187" s="17">
        <f>IF(A187="","",TEXT(A187,"yyyy-mm"))</f>
        <v/>
      </c>
    </row>
    <row r="188">
      <c r="A188" s="22" t="n"/>
      <c r="B188" s="19" t="n"/>
      <c r="C188" s="19" t="n"/>
      <c r="D188" s="18">
        <f>IF(C188="","",IFERROR(INDEX('Quy dinh'!$B$14:$B$18,MATCH(C188,'Quy dinh'!$A$14:$A$18,0)),"Mã lỗi không hợp lệ"))</f>
        <v/>
      </c>
      <c r="E188" s="7">
        <f>IF(C188="","",IFERROR(INDEX('Quy dinh'!$C$14:$C$18,MATCH(C188,'Quy dinh'!$A$14:$A$18,0)),0))</f>
        <v/>
      </c>
      <c r="F188" s="19" t="n"/>
      <c r="G188" s="19" t="n"/>
      <c r="H188" s="17">
        <f>IF(A188="","",TEXT(A188,"yyyy-mm"))</f>
        <v/>
      </c>
    </row>
    <row r="189">
      <c r="A189" s="22" t="n"/>
      <c r="B189" s="19" t="n"/>
      <c r="C189" s="19" t="n"/>
      <c r="D189" s="18">
        <f>IF(C189="","",IFERROR(INDEX('Quy dinh'!$B$14:$B$18,MATCH(C189,'Quy dinh'!$A$14:$A$18,0)),"Mã lỗi không hợp lệ"))</f>
        <v/>
      </c>
      <c r="E189" s="7">
        <f>IF(C189="","",IFERROR(INDEX('Quy dinh'!$C$14:$C$18,MATCH(C189,'Quy dinh'!$A$14:$A$18,0)),0))</f>
        <v/>
      </c>
      <c r="F189" s="19" t="n"/>
      <c r="G189" s="19" t="n"/>
      <c r="H189" s="17">
        <f>IF(A189="","",TEXT(A189,"yyyy-mm"))</f>
        <v/>
      </c>
    </row>
    <row r="190">
      <c r="A190" s="22" t="n"/>
      <c r="B190" s="19" t="n"/>
      <c r="C190" s="19" t="n"/>
      <c r="D190" s="18">
        <f>IF(C190="","",IFERROR(INDEX('Quy dinh'!$B$14:$B$18,MATCH(C190,'Quy dinh'!$A$14:$A$18,0)),"Mã lỗi không hợp lệ"))</f>
        <v/>
      </c>
      <c r="E190" s="7">
        <f>IF(C190="","",IFERROR(INDEX('Quy dinh'!$C$14:$C$18,MATCH(C190,'Quy dinh'!$A$14:$A$18,0)),0))</f>
        <v/>
      </c>
      <c r="F190" s="19" t="n"/>
      <c r="G190" s="19" t="n"/>
      <c r="H190" s="17">
        <f>IF(A190="","",TEXT(A190,"yyyy-mm"))</f>
        <v/>
      </c>
    </row>
    <row r="191">
      <c r="A191" s="22" t="n"/>
      <c r="B191" s="19" t="n"/>
      <c r="C191" s="19" t="n"/>
      <c r="D191" s="18">
        <f>IF(C191="","",IFERROR(INDEX('Quy dinh'!$B$14:$B$18,MATCH(C191,'Quy dinh'!$A$14:$A$18,0)),"Mã lỗi không hợp lệ"))</f>
        <v/>
      </c>
      <c r="E191" s="7">
        <f>IF(C191="","",IFERROR(INDEX('Quy dinh'!$C$14:$C$18,MATCH(C191,'Quy dinh'!$A$14:$A$18,0)),0))</f>
        <v/>
      </c>
      <c r="F191" s="19" t="n"/>
      <c r="G191" s="19" t="n"/>
      <c r="H191" s="17">
        <f>IF(A191="","",TEXT(A191,"yyyy-mm"))</f>
        <v/>
      </c>
    </row>
    <row r="192">
      <c r="A192" s="22" t="n"/>
      <c r="B192" s="19" t="n"/>
      <c r="C192" s="19" t="n"/>
      <c r="D192" s="18">
        <f>IF(C192="","",IFERROR(INDEX('Quy dinh'!$B$14:$B$18,MATCH(C192,'Quy dinh'!$A$14:$A$18,0)),"Mã lỗi không hợp lệ"))</f>
        <v/>
      </c>
      <c r="E192" s="7">
        <f>IF(C192="","",IFERROR(INDEX('Quy dinh'!$C$14:$C$18,MATCH(C192,'Quy dinh'!$A$14:$A$18,0)),0))</f>
        <v/>
      </c>
      <c r="F192" s="19" t="n"/>
      <c r="G192" s="19" t="n"/>
      <c r="H192" s="17">
        <f>IF(A192="","",TEXT(A192,"yyyy-mm"))</f>
        <v/>
      </c>
    </row>
    <row r="193">
      <c r="A193" s="22" t="n"/>
      <c r="B193" s="19" t="n"/>
      <c r="C193" s="19" t="n"/>
      <c r="D193" s="18">
        <f>IF(C193="","",IFERROR(INDEX('Quy dinh'!$B$14:$B$18,MATCH(C193,'Quy dinh'!$A$14:$A$18,0)),"Mã lỗi không hợp lệ"))</f>
        <v/>
      </c>
      <c r="E193" s="7">
        <f>IF(C193="","",IFERROR(INDEX('Quy dinh'!$C$14:$C$18,MATCH(C193,'Quy dinh'!$A$14:$A$18,0)),0))</f>
        <v/>
      </c>
      <c r="F193" s="19" t="n"/>
      <c r="G193" s="19" t="n"/>
      <c r="H193" s="17">
        <f>IF(A193="","",TEXT(A193,"yyyy-mm"))</f>
        <v/>
      </c>
    </row>
    <row r="194">
      <c r="A194" s="22" t="n"/>
      <c r="B194" s="19" t="n"/>
      <c r="C194" s="19" t="n"/>
      <c r="D194" s="18">
        <f>IF(C194="","",IFERROR(INDEX('Quy dinh'!$B$14:$B$18,MATCH(C194,'Quy dinh'!$A$14:$A$18,0)),"Mã lỗi không hợp lệ"))</f>
        <v/>
      </c>
      <c r="E194" s="7">
        <f>IF(C194="","",IFERROR(INDEX('Quy dinh'!$C$14:$C$18,MATCH(C194,'Quy dinh'!$A$14:$A$18,0)),0))</f>
        <v/>
      </c>
      <c r="F194" s="19" t="n"/>
      <c r="G194" s="19" t="n"/>
      <c r="H194" s="17">
        <f>IF(A194="","",TEXT(A194,"yyyy-mm"))</f>
        <v/>
      </c>
    </row>
    <row r="195">
      <c r="A195" s="22" t="n"/>
      <c r="B195" s="19" t="n"/>
      <c r="C195" s="19" t="n"/>
      <c r="D195" s="18">
        <f>IF(C195="","",IFERROR(INDEX('Quy dinh'!$B$14:$B$18,MATCH(C195,'Quy dinh'!$A$14:$A$18,0)),"Mã lỗi không hợp lệ"))</f>
        <v/>
      </c>
      <c r="E195" s="7">
        <f>IF(C195="","",IFERROR(INDEX('Quy dinh'!$C$14:$C$18,MATCH(C195,'Quy dinh'!$A$14:$A$18,0)),0))</f>
        <v/>
      </c>
      <c r="F195" s="19" t="n"/>
      <c r="G195" s="19" t="n"/>
      <c r="H195" s="17">
        <f>IF(A195="","",TEXT(A195,"yyyy-mm"))</f>
        <v/>
      </c>
    </row>
    <row r="196">
      <c r="A196" s="22" t="n"/>
      <c r="B196" s="19" t="n"/>
      <c r="C196" s="19" t="n"/>
      <c r="D196" s="18">
        <f>IF(C196="","",IFERROR(INDEX('Quy dinh'!$B$14:$B$18,MATCH(C196,'Quy dinh'!$A$14:$A$18,0)),"Mã lỗi không hợp lệ"))</f>
        <v/>
      </c>
      <c r="E196" s="7">
        <f>IF(C196="","",IFERROR(INDEX('Quy dinh'!$C$14:$C$18,MATCH(C196,'Quy dinh'!$A$14:$A$18,0)),0))</f>
        <v/>
      </c>
      <c r="F196" s="19" t="n"/>
      <c r="G196" s="19" t="n"/>
      <c r="H196" s="17">
        <f>IF(A196="","",TEXT(A196,"yyyy-mm"))</f>
        <v/>
      </c>
    </row>
    <row r="197">
      <c r="A197" s="22" t="n"/>
      <c r="B197" s="19" t="n"/>
      <c r="C197" s="19" t="n"/>
      <c r="D197" s="18">
        <f>IF(C197="","",IFERROR(INDEX('Quy dinh'!$B$14:$B$18,MATCH(C197,'Quy dinh'!$A$14:$A$18,0)),"Mã lỗi không hợp lệ"))</f>
        <v/>
      </c>
      <c r="E197" s="7">
        <f>IF(C197="","",IFERROR(INDEX('Quy dinh'!$C$14:$C$18,MATCH(C197,'Quy dinh'!$A$14:$A$18,0)),0))</f>
        <v/>
      </c>
      <c r="F197" s="19" t="n"/>
      <c r="G197" s="19" t="n"/>
      <c r="H197" s="17">
        <f>IF(A197="","",TEXT(A197,"yyyy-mm"))</f>
        <v/>
      </c>
    </row>
    <row r="198">
      <c r="A198" s="22" t="n"/>
      <c r="B198" s="19" t="n"/>
      <c r="C198" s="19" t="n"/>
      <c r="D198" s="18">
        <f>IF(C198="","",IFERROR(INDEX('Quy dinh'!$B$14:$B$18,MATCH(C198,'Quy dinh'!$A$14:$A$18,0)),"Mã lỗi không hợp lệ"))</f>
        <v/>
      </c>
      <c r="E198" s="7">
        <f>IF(C198="","",IFERROR(INDEX('Quy dinh'!$C$14:$C$18,MATCH(C198,'Quy dinh'!$A$14:$A$18,0)),0))</f>
        <v/>
      </c>
      <c r="F198" s="19" t="n"/>
      <c r="G198" s="19" t="n"/>
      <c r="H198" s="17">
        <f>IF(A198="","",TEXT(A198,"yyyy-mm"))</f>
        <v/>
      </c>
    </row>
    <row r="199">
      <c r="A199" s="22" t="n"/>
      <c r="B199" s="19" t="n"/>
      <c r="C199" s="19" t="n"/>
      <c r="D199" s="18">
        <f>IF(C199="","",IFERROR(INDEX('Quy dinh'!$B$14:$B$18,MATCH(C199,'Quy dinh'!$A$14:$A$18,0)),"Mã lỗi không hợp lệ"))</f>
        <v/>
      </c>
      <c r="E199" s="7">
        <f>IF(C199="","",IFERROR(INDEX('Quy dinh'!$C$14:$C$18,MATCH(C199,'Quy dinh'!$A$14:$A$18,0)),0))</f>
        <v/>
      </c>
      <c r="F199" s="19" t="n"/>
      <c r="G199" s="19" t="n"/>
      <c r="H199" s="17">
        <f>IF(A199="","",TEXT(A199,"yyyy-mm"))</f>
        <v/>
      </c>
    </row>
    <row r="200">
      <c r="A200" s="22" t="n"/>
      <c r="B200" s="19" t="n"/>
      <c r="C200" s="19" t="n"/>
      <c r="D200" s="18">
        <f>IF(C200="","",IFERROR(INDEX('Quy dinh'!$B$14:$B$18,MATCH(C200,'Quy dinh'!$A$14:$A$18,0)),"Mã lỗi không hợp lệ"))</f>
        <v/>
      </c>
      <c r="E200" s="7">
        <f>IF(C200="","",IFERROR(INDEX('Quy dinh'!$C$14:$C$18,MATCH(C200,'Quy dinh'!$A$14:$A$18,0)),0))</f>
        <v/>
      </c>
      <c r="F200" s="19" t="n"/>
      <c r="G200" s="19" t="n"/>
      <c r="H200" s="17">
        <f>IF(A200="","",TEXT(A200,"yyyy-mm"))</f>
        <v/>
      </c>
    </row>
    <row r="201">
      <c r="A201" s="22" t="n"/>
      <c r="B201" s="19" t="n"/>
      <c r="C201" s="19" t="n"/>
      <c r="D201" s="18">
        <f>IF(C201="","",IFERROR(INDEX('Quy dinh'!$B$14:$B$18,MATCH(C201,'Quy dinh'!$A$14:$A$18,0)),"Mã lỗi không hợp lệ"))</f>
        <v/>
      </c>
      <c r="E201" s="7">
        <f>IF(C201="","",IFERROR(INDEX('Quy dinh'!$C$14:$C$18,MATCH(C201,'Quy dinh'!$A$14:$A$18,0)),0))</f>
        <v/>
      </c>
      <c r="F201" s="19" t="n"/>
      <c r="G201" s="19" t="n"/>
      <c r="H201" s="17">
        <f>IF(A201="","",TEXT(A201,"yyyy-mm"))</f>
        <v/>
      </c>
    </row>
    <row r="202">
      <c r="A202" s="22" t="n"/>
      <c r="B202" s="19" t="n"/>
      <c r="C202" s="19" t="n"/>
      <c r="D202" s="18">
        <f>IF(C202="","",IFERROR(INDEX('Quy dinh'!$B$14:$B$18,MATCH(C202,'Quy dinh'!$A$14:$A$18,0)),"Mã lỗi không hợp lệ"))</f>
        <v/>
      </c>
      <c r="E202" s="7">
        <f>IF(C202="","",IFERROR(INDEX('Quy dinh'!$C$14:$C$18,MATCH(C202,'Quy dinh'!$A$14:$A$18,0)),0))</f>
        <v/>
      </c>
      <c r="F202" s="19" t="n"/>
      <c r="G202" s="19" t="n"/>
      <c r="H202" s="17">
        <f>IF(A202="","",TEXT(A202,"yyyy-mm"))</f>
        <v/>
      </c>
    </row>
    <row r="203">
      <c r="A203" s="22" t="n"/>
      <c r="B203" s="19" t="n"/>
      <c r="C203" s="19" t="n"/>
      <c r="D203" s="18">
        <f>IF(C203="","",IFERROR(INDEX('Quy dinh'!$B$14:$B$18,MATCH(C203,'Quy dinh'!$A$14:$A$18,0)),"Mã lỗi không hợp lệ"))</f>
        <v/>
      </c>
      <c r="E203" s="7">
        <f>IF(C203="","",IFERROR(INDEX('Quy dinh'!$C$14:$C$18,MATCH(C203,'Quy dinh'!$A$14:$A$18,0)),0))</f>
        <v/>
      </c>
      <c r="F203" s="19" t="n"/>
      <c r="G203" s="19" t="n"/>
      <c r="H203" s="17">
        <f>IF(A203="","",TEXT(A203,"yyyy-mm"))</f>
        <v/>
      </c>
    </row>
    <row r="204">
      <c r="A204" s="22" t="n"/>
      <c r="B204" s="19" t="n"/>
      <c r="C204" s="19" t="n"/>
      <c r="D204" s="18">
        <f>IF(C204="","",IFERROR(INDEX('Quy dinh'!$B$14:$B$18,MATCH(C204,'Quy dinh'!$A$14:$A$18,0)),"Mã lỗi không hợp lệ"))</f>
        <v/>
      </c>
      <c r="E204" s="7">
        <f>IF(C204="","",IFERROR(INDEX('Quy dinh'!$C$14:$C$18,MATCH(C204,'Quy dinh'!$A$14:$A$18,0)),0))</f>
        <v/>
      </c>
      <c r="F204" s="19" t="n"/>
      <c r="G204" s="19" t="n"/>
      <c r="H204" s="17">
        <f>IF(A204="","",TEXT(A204,"yyyy-mm"))</f>
        <v/>
      </c>
    </row>
    <row r="205">
      <c r="A205" s="22" t="n"/>
      <c r="B205" s="19" t="n"/>
      <c r="C205" s="19" t="n"/>
      <c r="D205" s="18">
        <f>IF(C205="","",IFERROR(INDEX('Quy dinh'!$B$14:$B$18,MATCH(C205,'Quy dinh'!$A$14:$A$18,0)),"Mã lỗi không hợp lệ"))</f>
        <v/>
      </c>
      <c r="E205" s="7">
        <f>IF(C205="","",IFERROR(INDEX('Quy dinh'!$C$14:$C$18,MATCH(C205,'Quy dinh'!$A$14:$A$18,0)),0))</f>
        <v/>
      </c>
      <c r="F205" s="19" t="n"/>
      <c r="G205" s="19" t="n"/>
      <c r="H205" s="17">
        <f>IF(A205="","",TEXT(A205,"yyyy-mm"))</f>
        <v/>
      </c>
    </row>
    <row r="206">
      <c r="A206" s="22" t="n"/>
      <c r="B206" s="19" t="n"/>
      <c r="C206" s="19" t="n"/>
      <c r="D206" s="18">
        <f>IF(C206="","",IFERROR(INDEX('Quy dinh'!$B$14:$B$18,MATCH(C206,'Quy dinh'!$A$14:$A$18,0)),"Mã lỗi không hợp lệ"))</f>
        <v/>
      </c>
      <c r="E206" s="7">
        <f>IF(C206="","",IFERROR(INDEX('Quy dinh'!$C$14:$C$18,MATCH(C206,'Quy dinh'!$A$14:$A$18,0)),0))</f>
        <v/>
      </c>
      <c r="F206" s="19" t="n"/>
      <c r="G206" s="19" t="n"/>
      <c r="H206" s="17">
        <f>IF(A206="","",TEXT(A206,"yyyy-mm"))</f>
        <v/>
      </c>
    </row>
    <row r="207">
      <c r="A207" s="22" t="n"/>
      <c r="B207" s="19" t="n"/>
      <c r="C207" s="19" t="n"/>
      <c r="D207" s="18">
        <f>IF(C207="","",IFERROR(INDEX('Quy dinh'!$B$14:$B$18,MATCH(C207,'Quy dinh'!$A$14:$A$18,0)),"Mã lỗi không hợp lệ"))</f>
        <v/>
      </c>
      <c r="E207" s="7">
        <f>IF(C207="","",IFERROR(INDEX('Quy dinh'!$C$14:$C$18,MATCH(C207,'Quy dinh'!$A$14:$A$18,0)),0))</f>
        <v/>
      </c>
      <c r="F207" s="19" t="n"/>
      <c r="G207" s="19" t="n"/>
      <c r="H207" s="17">
        <f>IF(A207="","",TEXT(A207,"yyyy-mm"))</f>
        <v/>
      </c>
    </row>
    <row r="208">
      <c r="A208" s="22" t="n"/>
      <c r="B208" s="19" t="n"/>
      <c r="C208" s="19" t="n"/>
      <c r="D208" s="18">
        <f>IF(C208="","",IFERROR(INDEX('Quy dinh'!$B$14:$B$18,MATCH(C208,'Quy dinh'!$A$14:$A$18,0)),"Mã lỗi không hợp lệ"))</f>
        <v/>
      </c>
      <c r="E208" s="7">
        <f>IF(C208="","",IFERROR(INDEX('Quy dinh'!$C$14:$C$18,MATCH(C208,'Quy dinh'!$A$14:$A$18,0)),0))</f>
        <v/>
      </c>
      <c r="F208" s="19" t="n"/>
      <c r="G208" s="19" t="n"/>
      <c r="H208" s="17">
        <f>IF(A208="","",TEXT(A208,"yyyy-mm"))</f>
        <v/>
      </c>
    </row>
    <row r="209">
      <c r="A209" s="22" t="n"/>
      <c r="B209" s="19" t="n"/>
      <c r="C209" s="19" t="n"/>
      <c r="D209" s="18">
        <f>IF(C209="","",IFERROR(INDEX('Quy dinh'!$B$14:$B$18,MATCH(C209,'Quy dinh'!$A$14:$A$18,0)),"Mã lỗi không hợp lệ"))</f>
        <v/>
      </c>
      <c r="E209" s="7">
        <f>IF(C209="","",IFERROR(INDEX('Quy dinh'!$C$14:$C$18,MATCH(C209,'Quy dinh'!$A$14:$A$18,0)),0))</f>
        <v/>
      </c>
      <c r="F209" s="19" t="n"/>
      <c r="G209" s="19" t="n"/>
      <c r="H209" s="17">
        <f>IF(A209="","",TEXT(A209,"yyyy-mm"))</f>
        <v/>
      </c>
    </row>
    <row r="210">
      <c r="A210" s="22" t="n"/>
      <c r="B210" s="19" t="n"/>
      <c r="C210" s="19" t="n"/>
      <c r="D210" s="18">
        <f>IF(C210="","",IFERROR(INDEX('Quy dinh'!$B$14:$B$18,MATCH(C210,'Quy dinh'!$A$14:$A$18,0)),"Mã lỗi không hợp lệ"))</f>
        <v/>
      </c>
      <c r="E210" s="7">
        <f>IF(C210="","",IFERROR(INDEX('Quy dinh'!$C$14:$C$18,MATCH(C210,'Quy dinh'!$A$14:$A$18,0)),0))</f>
        <v/>
      </c>
      <c r="F210" s="19" t="n"/>
      <c r="G210" s="19" t="n"/>
      <c r="H210" s="17">
        <f>IF(A210="","",TEXT(A210,"yyyy-mm"))</f>
        <v/>
      </c>
    </row>
    <row r="211">
      <c r="A211" s="22" t="n"/>
      <c r="B211" s="19" t="n"/>
      <c r="C211" s="19" t="n"/>
      <c r="D211" s="18">
        <f>IF(C211="","",IFERROR(INDEX('Quy dinh'!$B$14:$B$18,MATCH(C211,'Quy dinh'!$A$14:$A$18,0)),"Mã lỗi không hợp lệ"))</f>
        <v/>
      </c>
      <c r="E211" s="7">
        <f>IF(C211="","",IFERROR(INDEX('Quy dinh'!$C$14:$C$18,MATCH(C211,'Quy dinh'!$A$14:$A$18,0)),0))</f>
        <v/>
      </c>
      <c r="F211" s="19" t="n"/>
      <c r="G211" s="19" t="n"/>
      <c r="H211" s="17">
        <f>IF(A211="","",TEXT(A211,"yyyy-mm"))</f>
        <v/>
      </c>
    </row>
    <row r="212">
      <c r="A212" s="22" t="n"/>
      <c r="B212" s="19" t="n"/>
      <c r="C212" s="19" t="n"/>
      <c r="D212" s="18">
        <f>IF(C212="","",IFERROR(INDEX('Quy dinh'!$B$14:$B$18,MATCH(C212,'Quy dinh'!$A$14:$A$18,0)),"Mã lỗi không hợp lệ"))</f>
        <v/>
      </c>
      <c r="E212" s="7">
        <f>IF(C212="","",IFERROR(INDEX('Quy dinh'!$C$14:$C$18,MATCH(C212,'Quy dinh'!$A$14:$A$18,0)),0))</f>
        <v/>
      </c>
      <c r="F212" s="19" t="n"/>
      <c r="G212" s="19" t="n"/>
      <c r="H212" s="17">
        <f>IF(A212="","",TEXT(A212,"yyyy-mm"))</f>
        <v/>
      </c>
    </row>
    <row r="213">
      <c r="A213" s="22" t="n"/>
      <c r="B213" s="19" t="n"/>
      <c r="C213" s="19" t="n"/>
      <c r="D213" s="18">
        <f>IF(C213="","",IFERROR(INDEX('Quy dinh'!$B$14:$B$18,MATCH(C213,'Quy dinh'!$A$14:$A$18,0)),"Mã lỗi không hợp lệ"))</f>
        <v/>
      </c>
      <c r="E213" s="7">
        <f>IF(C213="","",IFERROR(INDEX('Quy dinh'!$C$14:$C$18,MATCH(C213,'Quy dinh'!$A$14:$A$18,0)),0))</f>
        <v/>
      </c>
      <c r="F213" s="19" t="n"/>
      <c r="G213" s="19" t="n"/>
      <c r="H213" s="17">
        <f>IF(A213="","",TEXT(A213,"yyyy-mm"))</f>
        <v/>
      </c>
    </row>
    <row r="214">
      <c r="A214" s="22" t="n"/>
      <c r="B214" s="19" t="n"/>
      <c r="C214" s="19" t="n"/>
      <c r="D214" s="18">
        <f>IF(C214="","",IFERROR(INDEX('Quy dinh'!$B$14:$B$18,MATCH(C214,'Quy dinh'!$A$14:$A$18,0)),"Mã lỗi không hợp lệ"))</f>
        <v/>
      </c>
      <c r="E214" s="7">
        <f>IF(C214="","",IFERROR(INDEX('Quy dinh'!$C$14:$C$18,MATCH(C214,'Quy dinh'!$A$14:$A$18,0)),0))</f>
        <v/>
      </c>
      <c r="F214" s="19" t="n"/>
      <c r="G214" s="19" t="n"/>
      <c r="H214" s="17">
        <f>IF(A214="","",TEXT(A214,"yyyy-mm"))</f>
        <v/>
      </c>
    </row>
    <row r="215">
      <c r="A215" s="22" t="n"/>
      <c r="B215" s="19" t="n"/>
      <c r="C215" s="19" t="n"/>
      <c r="D215" s="18">
        <f>IF(C215="","",IFERROR(INDEX('Quy dinh'!$B$14:$B$18,MATCH(C215,'Quy dinh'!$A$14:$A$18,0)),"Mã lỗi không hợp lệ"))</f>
        <v/>
      </c>
      <c r="E215" s="7">
        <f>IF(C215="","",IFERROR(INDEX('Quy dinh'!$C$14:$C$18,MATCH(C215,'Quy dinh'!$A$14:$A$18,0)),0))</f>
        <v/>
      </c>
      <c r="F215" s="19" t="n"/>
      <c r="G215" s="19" t="n"/>
      <c r="H215" s="17">
        <f>IF(A215="","",TEXT(A215,"yyyy-mm"))</f>
        <v/>
      </c>
    </row>
    <row r="216">
      <c r="A216" s="22" t="n"/>
      <c r="B216" s="19" t="n"/>
      <c r="C216" s="19" t="n"/>
      <c r="D216" s="18">
        <f>IF(C216="","",IFERROR(INDEX('Quy dinh'!$B$14:$B$18,MATCH(C216,'Quy dinh'!$A$14:$A$18,0)),"Mã lỗi không hợp lệ"))</f>
        <v/>
      </c>
      <c r="E216" s="7">
        <f>IF(C216="","",IFERROR(INDEX('Quy dinh'!$C$14:$C$18,MATCH(C216,'Quy dinh'!$A$14:$A$18,0)),0))</f>
        <v/>
      </c>
      <c r="F216" s="19" t="n"/>
      <c r="G216" s="19" t="n"/>
      <c r="H216" s="17">
        <f>IF(A216="","",TEXT(A216,"yyyy-mm"))</f>
        <v/>
      </c>
    </row>
    <row r="217">
      <c r="A217" s="22" t="n"/>
      <c r="B217" s="19" t="n"/>
      <c r="C217" s="19" t="n"/>
      <c r="D217" s="18">
        <f>IF(C217="","",IFERROR(INDEX('Quy dinh'!$B$14:$B$18,MATCH(C217,'Quy dinh'!$A$14:$A$18,0)),"Mã lỗi không hợp lệ"))</f>
        <v/>
      </c>
      <c r="E217" s="7">
        <f>IF(C217="","",IFERROR(INDEX('Quy dinh'!$C$14:$C$18,MATCH(C217,'Quy dinh'!$A$14:$A$18,0)),0))</f>
        <v/>
      </c>
      <c r="F217" s="19" t="n"/>
      <c r="G217" s="19" t="n"/>
      <c r="H217" s="17">
        <f>IF(A217="","",TEXT(A217,"yyyy-mm"))</f>
        <v/>
      </c>
    </row>
    <row r="218">
      <c r="A218" s="22" t="n"/>
      <c r="B218" s="19" t="n"/>
      <c r="C218" s="19" t="n"/>
      <c r="D218" s="18">
        <f>IF(C218="","",IFERROR(INDEX('Quy dinh'!$B$14:$B$18,MATCH(C218,'Quy dinh'!$A$14:$A$18,0)),"Mã lỗi không hợp lệ"))</f>
        <v/>
      </c>
      <c r="E218" s="7">
        <f>IF(C218="","",IFERROR(INDEX('Quy dinh'!$C$14:$C$18,MATCH(C218,'Quy dinh'!$A$14:$A$18,0)),0))</f>
        <v/>
      </c>
      <c r="F218" s="19" t="n"/>
      <c r="G218" s="19" t="n"/>
      <c r="H218" s="17">
        <f>IF(A218="","",TEXT(A218,"yyyy-mm"))</f>
        <v/>
      </c>
    </row>
    <row r="219">
      <c r="A219" s="22" t="n"/>
      <c r="B219" s="19" t="n"/>
      <c r="C219" s="19" t="n"/>
      <c r="D219" s="18">
        <f>IF(C219="","",IFERROR(INDEX('Quy dinh'!$B$14:$B$18,MATCH(C219,'Quy dinh'!$A$14:$A$18,0)),"Mã lỗi không hợp lệ"))</f>
        <v/>
      </c>
      <c r="E219" s="7">
        <f>IF(C219="","",IFERROR(INDEX('Quy dinh'!$C$14:$C$18,MATCH(C219,'Quy dinh'!$A$14:$A$18,0)),0))</f>
        <v/>
      </c>
      <c r="F219" s="19" t="n"/>
      <c r="G219" s="19" t="n"/>
      <c r="H219" s="17">
        <f>IF(A219="","",TEXT(A219,"yyyy-mm"))</f>
        <v/>
      </c>
    </row>
    <row r="220">
      <c r="A220" s="22" t="n"/>
      <c r="B220" s="19" t="n"/>
      <c r="C220" s="19" t="n"/>
      <c r="D220" s="18">
        <f>IF(C220="","",IFERROR(INDEX('Quy dinh'!$B$14:$B$18,MATCH(C220,'Quy dinh'!$A$14:$A$18,0)),"Mã lỗi không hợp lệ"))</f>
        <v/>
      </c>
      <c r="E220" s="7">
        <f>IF(C220="","",IFERROR(INDEX('Quy dinh'!$C$14:$C$18,MATCH(C220,'Quy dinh'!$A$14:$A$18,0)),0))</f>
        <v/>
      </c>
      <c r="F220" s="19" t="n"/>
      <c r="G220" s="19" t="n"/>
      <c r="H220" s="17">
        <f>IF(A220="","",TEXT(A220,"yyyy-mm"))</f>
        <v/>
      </c>
    </row>
    <row r="221">
      <c r="A221" s="22" t="n"/>
      <c r="B221" s="19" t="n"/>
      <c r="C221" s="19" t="n"/>
      <c r="D221" s="18">
        <f>IF(C221="","",IFERROR(INDEX('Quy dinh'!$B$14:$B$18,MATCH(C221,'Quy dinh'!$A$14:$A$18,0)),"Mã lỗi không hợp lệ"))</f>
        <v/>
      </c>
      <c r="E221" s="7">
        <f>IF(C221="","",IFERROR(INDEX('Quy dinh'!$C$14:$C$18,MATCH(C221,'Quy dinh'!$A$14:$A$18,0)),0))</f>
        <v/>
      </c>
      <c r="F221" s="19" t="n"/>
      <c r="G221" s="19" t="n"/>
      <c r="H221" s="17">
        <f>IF(A221="","",TEXT(A221,"yyyy-mm"))</f>
        <v/>
      </c>
    </row>
    <row r="222">
      <c r="A222" s="22" t="n"/>
      <c r="B222" s="19" t="n"/>
      <c r="C222" s="19" t="n"/>
      <c r="D222" s="18">
        <f>IF(C222="","",IFERROR(INDEX('Quy dinh'!$B$14:$B$18,MATCH(C222,'Quy dinh'!$A$14:$A$18,0)),"Mã lỗi không hợp lệ"))</f>
        <v/>
      </c>
      <c r="E222" s="7">
        <f>IF(C222="","",IFERROR(INDEX('Quy dinh'!$C$14:$C$18,MATCH(C222,'Quy dinh'!$A$14:$A$18,0)),0))</f>
        <v/>
      </c>
      <c r="F222" s="19" t="n"/>
      <c r="G222" s="19" t="n"/>
      <c r="H222" s="17">
        <f>IF(A222="","",TEXT(A222,"yyyy-mm"))</f>
        <v/>
      </c>
    </row>
    <row r="223">
      <c r="A223" s="22" t="n"/>
      <c r="B223" s="19" t="n"/>
      <c r="C223" s="19" t="n"/>
      <c r="D223" s="18">
        <f>IF(C223="","",IFERROR(INDEX('Quy dinh'!$B$14:$B$18,MATCH(C223,'Quy dinh'!$A$14:$A$18,0)),"Mã lỗi không hợp lệ"))</f>
        <v/>
      </c>
      <c r="E223" s="7">
        <f>IF(C223="","",IFERROR(INDEX('Quy dinh'!$C$14:$C$18,MATCH(C223,'Quy dinh'!$A$14:$A$18,0)),0))</f>
        <v/>
      </c>
      <c r="F223" s="19" t="n"/>
      <c r="G223" s="19" t="n"/>
      <c r="H223" s="17">
        <f>IF(A223="","",TEXT(A223,"yyyy-mm"))</f>
        <v/>
      </c>
    </row>
    <row r="224">
      <c r="A224" s="22" t="n"/>
      <c r="B224" s="19" t="n"/>
      <c r="C224" s="19" t="n"/>
      <c r="D224" s="18">
        <f>IF(C224="","",IFERROR(INDEX('Quy dinh'!$B$14:$B$18,MATCH(C224,'Quy dinh'!$A$14:$A$18,0)),"Mã lỗi không hợp lệ"))</f>
        <v/>
      </c>
      <c r="E224" s="7">
        <f>IF(C224="","",IFERROR(INDEX('Quy dinh'!$C$14:$C$18,MATCH(C224,'Quy dinh'!$A$14:$A$18,0)),0))</f>
        <v/>
      </c>
      <c r="F224" s="19" t="n"/>
      <c r="G224" s="19" t="n"/>
      <c r="H224" s="17">
        <f>IF(A224="","",TEXT(A224,"yyyy-mm"))</f>
        <v/>
      </c>
    </row>
    <row r="225">
      <c r="A225" s="22" t="n"/>
      <c r="B225" s="19" t="n"/>
      <c r="C225" s="19" t="n"/>
      <c r="D225" s="18">
        <f>IF(C225="","",IFERROR(INDEX('Quy dinh'!$B$14:$B$18,MATCH(C225,'Quy dinh'!$A$14:$A$18,0)),"Mã lỗi không hợp lệ"))</f>
        <v/>
      </c>
      <c r="E225" s="7">
        <f>IF(C225="","",IFERROR(INDEX('Quy dinh'!$C$14:$C$18,MATCH(C225,'Quy dinh'!$A$14:$A$18,0)),0))</f>
        <v/>
      </c>
      <c r="F225" s="19" t="n"/>
      <c r="G225" s="19" t="n"/>
      <c r="H225" s="17">
        <f>IF(A225="","",TEXT(A225,"yyyy-mm"))</f>
        <v/>
      </c>
    </row>
    <row r="226">
      <c r="A226" s="22" t="n"/>
      <c r="B226" s="19" t="n"/>
      <c r="C226" s="19" t="n"/>
      <c r="D226" s="18">
        <f>IF(C226="","",IFERROR(INDEX('Quy dinh'!$B$14:$B$18,MATCH(C226,'Quy dinh'!$A$14:$A$18,0)),"Mã lỗi không hợp lệ"))</f>
        <v/>
      </c>
      <c r="E226" s="7">
        <f>IF(C226="","",IFERROR(INDEX('Quy dinh'!$C$14:$C$18,MATCH(C226,'Quy dinh'!$A$14:$A$18,0)),0))</f>
        <v/>
      </c>
      <c r="F226" s="19" t="n"/>
      <c r="G226" s="19" t="n"/>
      <c r="H226" s="17">
        <f>IF(A226="","",TEXT(A226,"yyyy-mm"))</f>
        <v/>
      </c>
    </row>
    <row r="227">
      <c r="A227" s="22" t="n"/>
      <c r="B227" s="19" t="n"/>
      <c r="C227" s="19" t="n"/>
      <c r="D227" s="18">
        <f>IF(C227="","",IFERROR(INDEX('Quy dinh'!$B$14:$B$18,MATCH(C227,'Quy dinh'!$A$14:$A$18,0)),"Mã lỗi không hợp lệ"))</f>
        <v/>
      </c>
      <c r="E227" s="7">
        <f>IF(C227="","",IFERROR(INDEX('Quy dinh'!$C$14:$C$18,MATCH(C227,'Quy dinh'!$A$14:$A$18,0)),0))</f>
        <v/>
      </c>
      <c r="F227" s="19" t="n"/>
      <c r="G227" s="19" t="n"/>
      <c r="H227" s="17">
        <f>IF(A227="","",TEXT(A227,"yyyy-mm"))</f>
        <v/>
      </c>
    </row>
    <row r="228">
      <c r="A228" s="22" t="n"/>
      <c r="B228" s="19" t="n"/>
      <c r="C228" s="19" t="n"/>
      <c r="D228" s="18">
        <f>IF(C228="","",IFERROR(INDEX('Quy dinh'!$B$14:$B$18,MATCH(C228,'Quy dinh'!$A$14:$A$18,0)),"Mã lỗi không hợp lệ"))</f>
        <v/>
      </c>
      <c r="E228" s="7">
        <f>IF(C228="","",IFERROR(INDEX('Quy dinh'!$C$14:$C$18,MATCH(C228,'Quy dinh'!$A$14:$A$18,0)),0))</f>
        <v/>
      </c>
      <c r="F228" s="19" t="n"/>
      <c r="G228" s="19" t="n"/>
      <c r="H228" s="17">
        <f>IF(A228="","",TEXT(A228,"yyyy-mm"))</f>
        <v/>
      </c>
    </row>
    <row r="229">
      <c r="A229" s="22" t="n"/>
      <c r="B229" s="19" t="n"/>
      <c r="C229" s="19" t="n"/>
      <c r="D229" s="18">
        <f>IF(C229="","",IFERROR(INDEX('Quy dinh'!$B$14:$B$18,MATCH(C229,'Quy dinh'!$A$14:$A$18,0)),"Mã lỗi không hợp lệ"))</f>
        <v/>
      </c>
      <c r="E229" s="7">
        <f>IF(C229="","",IFERROR(INDEX('Quy dinh'!$C$14:$C$18,MATCH(C229,'Quy dinh'!$A$14:$A$18,0)),0))</f>
        <v/>
      </c>
      <c r="F229" s="19" t="n"/>
      <c r="G229" s="19" t="n"/>
      <c r="H229" s="17">
        <f>IF(A229="","",TEXT(A229,"yyyy-mm"))</f>
        <v/>
      </c>
    </row>
    <row r="230">
      <c r="A230" s="22" t="n"/>
      <c r="B230" s="19" t="n"/>
      <c r="C230" s="19" t="n"/>
      <c r="D230" s="18">
        <f>IF(C230="","",IFERROR(INDEX('Quy dinh'!$B$14:$B$18,MATCH(C230,'Quy dinh'!$A$14:$A$18,0)),"Mã lỗi không hợp lệ"))</f>
        <v/>
      </c>
      <c r="E230" s="7">
        <f>IF(C230="","",IFERROR(INDEX('Quy dinh'!$C$14:$C$18,MATCH(C230,'Quy dinh'!$A$14:$A$18,0)),0))</f>
        <v/>
      </c>
      <c r="F230" s="19" t="n"/>
      <c r="G230" s="19" t="n"/>
      <c r="H230" s="17">
        <f>IF(A230="","",TEXT(A230,"yyyy-mm"))</f>
        <v/>
      </c>
    </row>
    <row r="231">
      <c r="A231" s="22" t="n"/>
      <c r="B231" s="19" t="n"/>
      <c r="C231" s="19" t="n"/>
      <c r="D231" s="18">
        <f>IF(C231="","",IFERROR(INDEX('Quy dinh'!$B$14:$B$18,MATCH(C231,'Quy dinh'!$A$14:$A$18,0)),"Mã lỗi không hợp lệ"))</f>
        <v/>
      </c>
      <c r="E231" s="7">
        <f>IF(C231="","",IFERROR(INDEX('Quy dinh'!$C$14:$C$18,MATCH(C231,'Quy dinh'!$A$14:$A$18,0)),0))</f>
        <v/>
      </c>
      <c r="F231" s="19" t="n"/>
      <c r="G231" s="19" t="n"/>
      <c r="H231" s="17">
        <f>IF(A231="","",TEXT(A231,"yyyy-mm"))</f>
        <v/>
      </c>
    </row>
    <row r="232">
      <c r="A232" s="22" t="n"/>
      <c r="B232" s="19" t="n"/>
      <c r="C232" s="19" t="n"/>
      <c r="D232" s="18">
        <f>IF(C232="","",IFERROR(INDEX('Quy dinh'!$B$14:$B$18,MATCH(C232,'Quy dinh'!$A$14:$A$18,0)),"Mã lỗi không hợp lệ"))</f>
        <v/>
      </c>
      <c r="E232" s="7">
        <f>IF(C232="","",IFERROR(INDEX('Quy dinh'!$C$14:$C$18,MATCH(C232,'Quy dinh'!$A$14:$A$18,0)),0))</f>
        <v/>
      </c>
      <c r="F232" s="19" t="n"/>
      <c r="G232" s="19" t="n"/>
      <c r="H232" s="17">
        <f>IF(A232="","",TEXT(A232,"yyyy-mm"))</f>
        <v/>
      </c>
    </row>
    <row r="233">
      <c r="A233" s="22" t="n"/>
      <c r="B233" s="19" t="n"/>
      <c r="C233" s="19" t="n"/>
      <c r="D233" s="18">
        <f>IF(C233="","",IFERROR(INDEX('Quy dinh'!$B$14:$B$18,MATCH(C233,'Quy dinh'!$A$14:$A$18,0)),"Mã lỗi không hợp lệ"))</f>
        <v/>
      </c>
      <c r="E233" s="7">
        <f>IF(C233="","",IFERROR(INDEX('Quy dinh'!$C$14:$C$18,MATCH(C233,'Quy dinh'!$A$14:$A$18,0)),0))</f>
        <v/>
      </c>
      <c r="F233" s="19" t="n"/>
      <c r="G233" s="19" t="n"/>
      <c r="H233" s="17">
        <f>IF(A233="","",TEXT(A233,"yyyy-mm"))</f>
        <v/>
      </c>
    </row>
    <row r="234">
      <c r="A234" s="22" t="n"/>
      <c r="B234" s="19" t="n"/>
      <c r="C234" s="19" t="n"/>
      <c r="D234" s="18">
        <f>IF(C234="","",IFERROR(INDEX('Quy dinh'!$B$14:$B$18,MATCH(C234,'Quy dinh'!$A$14:$A$18,0)),"Mã lỗi không hợp lệ"))</f>
        <v/>
      </c>
      <c r="E234" s="7">
        <f>IF(C234="","",IFERROR(INDEX('Quy dinh'!$C$14:$C$18,MATCH(C234,'Quy dinh'!$A$14:$A$18,0)),0))</f>
        <v/>
      </c>
      <c r="F234" s="19" t="n"/>
      <c r="G234" s="19" t="n"/>
      <c r="H234" s="17">
        <f>IF(A234="","",TEXT(A234,"yyyy-mm"))</f>
        <v/>
      </c>
    </row>
    <row r="235">
      <c r="A235" s="22" t="n"/>
      <c r="B235" s="19" t="n"/>
      <c r="C235" s="19" t="n"/>
      <c r="D235" s="18">
        <f>IF(C235="","",IFERROR(INDEX('Quy dinh'!$B$14:$B$18,MATCH(C235,'Quy dinh'!$A$14:$A$18,0)),"Mã lỗi không hợp lệ"))</f>
        <v/>
      </c>
      <c r="E235" s="7">
        <f>IF(C235="","",IFERROR(INDEX('Quy dinh'!$C$14:$C$18,MATCH(C235,'Quy dinh'!$A$14:$A$18,0)),0))</f>
        <v/>
      </c>
      <c r="F235" s="19" t="n"/>
      <c r="G235" s="19" t="n"/>
      <c r="H235" s="17">
        <f>IF(A235="","",TEXT(A235,"yyyy-mm"))</f>
        <v/>
      </c>
    </row>
    <row r="236">
      <c r="A236" s="22" t="n"/>
      <c r="B236" s="19" t="n"/>
      <c r="C236" s="19" t="n"/>
      <c r="D236" s="18">
        <f>IF(C236="","",IFERROR(INDEX('Quy dinh'!$B$14:$B$18,MATCH(C236,'Quy dinh'!$A$14:$A$18,0)),"Mã lỗi không hợp lệ"))</f>
        <v/>
      </c>
      <c r="E236" s="7">
        <f>IF(C236="","",IFERROR(INDEX('Quy dinh'!$C$14:$C$18,MATCH(C236,'Quy dinh'!$A$14:$A$18,0)),0))</f>
        <v/>
      </c>
      <c r="F236" s="19" t="n"/>
      <c r="G236" s="19" t="n"/>
      <c r="H236" s="17">
        <f>IF(A236="","",TEXT(A236,"yyyy-mm"))</f>
        <v/>
      </c>
    </row>
    <row r="237">
      <c r="A237" s="22" t="n"/>
      <c r="B237" s="19" t="n"/>
      <c r="C237" s="19" t="n"/>
      <c r="D237" s="18">
        <f>IF(C237="","",IFERROR(INDEX('Quy dinh'!$B$14:$B$18,MATCH(C237,'Quy dinh'!$A$14:$A$18,0)),"Mã lỗi không hợp lệ"))</f>
        <v/>
      </c>
      <c r="E237" s="7">
        <f>IF(C237="","",IFERROR(INDEX('Quy dinh'!$C$14:$C$18,MATCH(C237,'Quy dinh'!$A$14:$A$18,0)),0))</f>
        <v/>
      </c>
      <c r="F237" s="19" t="n"/>
      <c r="G237" s="19" t="n"/>
      <c r="H237" s="17">
        <f>IF(A237="","",TEXT(A237,"yyyy-mm"))</f>
        <v/>
      </c>
    </row>
    <row r="238">
      <c r="A238" s="22" t="n"/>
      <c r="B238" s="19" t="n"/>
      <c r="C238" s="19" t="n"/>
      <c r="D238" s="18">
        <f>IF(C238="","",IFERROR(INDEX('Quy dinh'!$B$14:$B$18,MATCH(C238,'Quy dinh'!$A$14:$A$18,0)),"Mã lỗi không hợp lệ"))</f>
        <v/>
      </c>
      <c r="E238" s="7">
        <f>IF(C238="","",IFERROR(INDEX('Quy dinh'!$C$14:$C$18,MATCH(C238,'Quy dinh'!$A$14:$A$18,0)),0))</f>
        <v/>
      </c>
      <c r="F238" s="19" t="n"/>
      <c r="G238" s="19" t="n"/>
      <c r="H238" s="17">
        <f>IF(A238="","",TEXT(A238,"yyyy-mm"))</f>
        <v/>
      </c>
    </row>
    <row r="239">
      <c r="A239" s="22" t="n"/>
      <c r="B239" s="19" t="n"/>
      <c r="C239" s="19" t="n"/>
      <c r="D239" s="18">
        <f>IF(C239="","",IFERROR(INDEX('Quy dinh'!$B$14:$B$18,MATCH(C239,'Quy dinh'!$A$14:$A$18,0)),"Mã lỗi không hợp lệ"))</f>
        <v/>
      </c>
      <c r="E239" s="7">
        <f>IF(C239="","",IFERROR(INDEX('Quy dinh'!$C$14:$C$18,MATCH(C239,'Quy dinh'!$A$14:$A$18,0)),0))</f>
        <v/>
      </c>
      <c r="F239" s="19" t="n"/>
      <c r="G239" s="19" t="n"/>
      <c r="H239" s="17">
        <f>IF(A239="","",TEXT(A239,"yyyy-mm"))</f>
        <v/>
      </c>
    </row>
    <row r="240">
      <c r="A240" s="22" t="n"/>
      <c r="B240" s="19" t="n"/>
      <c r="C240" s="19" t="n"/>
      <c r="D240" s="18">
        <f>IF(C240="","",IFERROR(INDEX('Quy dinh'!$B$14:$B$18,MATCH(C240,'Quy dinh'!$A$14:$A$18,0)),"Mã lỗi không hợp lệ"))</f>
        <v/>
      </c>
      <c r="E240" s="7">
        <f>IF(C240="","",IFERROR(INDEX('Quy dinh'!$C$14:$C$18,MATCH(C240,'Quy dinh'!$A$14:$A$18,0)),0))</f>
        <v/>
      </c>
      <c r="F240" s="19" t="n"/>
      <c r="G240" s="19" t="n"/>
      <c r="H240" s="17">
        <f>IF(A240="","",TEXT(A240,"yyyy-mm"))</f>
        <v/>
      </c>
    </row>
    <row r="241">
      <c r="A241" s="22" t="n"/>
      <c r="B241" s="19" t="n"/>
      <c r="C241" s="19" t="n"/>
      <c r="D241" s="18">
        <f>IF(C241="","",IFERROR(INDEX('Quy dinh'!$B$14:$B$18,MATCH(C241,'Quy dinh'!$A$14:$A$18,0)),"Mã lỗi không hợp lệ"))</f>
        <v/>
      </c>
      <c r="E241" s="7">
        <f>IF(C241="","",IFERROR(INDEX('Quy dinh'!$C$14:$C$18,MATCH(C241,'Quy dinh'!$A$14:$A$18,0)),0))</f>
        <v/>
      </c>
      <c r="F241" s="19" t="n"/>
      <c r="G241" s="19" t="n"/>
      <c r="H241" s="17">
        <f>IF(A241="","",TEXT(A241,"yyyy-mm"))</f>
        <v/>
      </c>
    </row>
    <row r="242">
      <c r="A242" s="22" t="n"/>
      <c r="B242" s="19" t="n"/>
      <c r="C242" s="19" t="n"/>
      <c r="D242" s="18">
        <f>IF(C242="","",IFERROR(INDEX('Quy dinh'!$B$14:$B$18,MATCH(C242,'Quy dinh'!$A$14:$A$18,0)),"Mã lỗi không hợp lệ"))</f>
        <v/>
      </c>
      <c r="E242" s="7">
        <f>IF(C242="","",IFERROR(INDEX('Quy dinh'!$C$14:$C$18,MATCH(C242,'Quy dinh'!$A$14:$A$18,0)),0))</f>
        <v/>
      </c>
      <c r="F242" s="19" t="n"/>
      <c r="G242" s="19" t="n"/>
      <c r="H242" s="17">
        <f>IF(A242="","",TEXT(A242,"yyyy-mm"))</f>
        <v/>
      </c>
    </row>
    <row r="243">
      <c r="A243" s="22" t="n"/>
      <c r="B243" s="19" t="n"/>
      <c r="C243" s="19" t="n"/>
      <c r="D243" s="18">
        <f>IF(C243="","",IFERROR(INDEX('Quy dinh'!$B$14:$B$18,MATCH(C243,'Quy dinh'!$A$14:$A$18,0)),"Mã lỗi không hợp lệ"))</f>
        <v/>
      </c>
      <c r="E243" s="7">
        <f>IF(C243="","",IFERROR(INDEX('Quy dinh'!$C$14:$C$18,MATCH(C243,'Quy dinh'!$A$14:$A$18,0)),0))</f>
        <v/>
      </c>
      <c r="F243" s="19" t="n"/>
      <c r="G243" s="19" t="n"/>
      <c r="H243" s="17">
        <f>IF(A243="","",TEXT(A243,"yyyy-mm"))</f>
        <v/>
      </c>
    </row>
    <row r="244">
      <c r="A244" s="22" t="n"/>
      <c r="B244" s="19" t="n"/>
      <c r="C244" s="19" t="n"/>
      <c r="D244" s="18">
        <f>IF(C244="","",IFERROR(INDEX('Quy dinh'!$B$14:$B$18,MATCH(C244,'Quy dinh'!$A$14:$A$18,0)),"Mã lỗi không hợp lệ"))</f>
        <v/>
      </c>
      <c r="E244" s="7">
        <f>IF(C244="","",IFERROR(INDEX('Quy dinh'!$C$14:$C$18,MATCH(C244,'Quy dinh'!$A$14:$A$18,0)),0))</f>
        <v/>
      </c>
      <c r="F244" s="19" t="n"/>
      <c r="G244" s="19" t="n"/>
      <c r="H244" s="17">
        <f>IF(A244="","",TEXT(A244,"yyyy-mm"))</f>
        <v/>
      </c>
    </row>
    <row r="245">
      <c r="A245" s="22" t="n"/>
      <c r="B245" s="19" t="n"/>
      <c r="C245" s="19" t="n"/>
      <c r="D245" s="18">
        <f>IF(C245="","",IFERROR(INDEX('Quy dinh'!$B$14:$B$18,MATCH(C245,'Quy dinh'!$A$14:$A$18,0)),"Mã lỗi không hợp lệ"))</f>
        <v/>
      </c>
      <c r="E245" s="7">
        <f>IF(C245="","",IFERROR(INDEX('Quy dinh'!$C$14:$C$18,MATCH(C245,'Quy dinh'!$A$14:$A$18,0)),0))</f>
        <v/>
      </c>
      <c r="F245" s="19" t="n"/>
      <c r="G245" s="19" t="n"/>
      <c r="H245" s="17">
        <f>IF(A245="","",TEXT(A245,"yyyy-mm"))</f>
        <v/>
      </c>
    </row>
    <row r="246">
      <c r="A246" s="22" t="n"/>
      <c r="B246" s="19" t="n"/>
      <c r="C246" s="19" t="n"/>
      <c r="D246" s="18">
        <f>IF(C246="","",IFERROR(INDEX('Quy dinh'!$B$14:$B$18,MATCH(C246,'Quy dinh'!$A$14:$A$18,0)),"Mã lỗi không hợp lệ"))</f>
        <v/>
      </c>
      <c r="E246" s="7">
        <f>IF(C246="","",IFERROR(INDEX('Quy dinh'!$C$14:$C$18,MATCH(C246,'Quy dinh'!$A$14:$A$18,0)),0))</f>
        <v/>
      </c>
      <c r="F246" s="19" t="n"/>
      <c r="G246" s="19" t="n"/>
      <c r="H246" s="17">
        <f>IF(A246="","",TEXT(A246,"yyyy-mm"))</f>
        <v/>
      </c>
    </row>
    <row r="247">
      <c r="A247" s="22" t="n"/>
      <c r="B247" s="19" t="n"/>
      <c r="C247" s="19" t="n"/>
      <c r="D247" s="18">
        <f>IF(C247="","",IFERROR(INDEX('Quy dinh'!$B$14:$B$18,MATCH(C247,'Quy dinh'!$A$14:$A$18,0)),"Mã lỗi không hợp lệ"))</f>
        <v/>
      </c>
      <c r="E247" s="7">
        <f>IF(C247="","",IFERROR(INDEX('Quy dinh'!$C$14:$C$18,MATCH(C247,'Quy dinh'!$A$14:$A$18,0)),0))</f>
        <v/>
      </c>
      <c r="F247" s="19" t="n"/>
      <c r="G247" s="19" t="n"/>
      <c r="H247" s="17">
        <f>IF(A247="","",TEXT(A247,"yyyy-mm"))</f>
        <v/>
      </c>
    </row>
    <row r="248">
      <c r="A248" s="22" t="n"/>
      <c r="B248" s="19" t="n"/>
      <c r="C248" s="19" t="n"/>
      <c r="D248" s="18">
        <f>IF(C248="","",IFERROR(INDEX('Quy dinh'!$B$14:$B$18,MATCH(C248,'Quy dinh'!$A$14:$A$18,0)),"Mã lỗi không hợp lệ"))</f>
        <v/>
      </c>
      <c r="E248" s="7">
        <f>IF(C248="","",IFERROR(INDEX('Quy dinh'!$C$14:$C$18,MATCH(C248,'Quy dinh'!$A$14:$A$18,0)),0))</f>
        <v/>
      </c>
      <c r="F248" s="19" t="n"/>
      <c r="G248" s="19" t="n"/>
      <c r="H248" s="17">
        <f>IF(A248="","",TEXT(A248,"yyyy-mm"))</f>
        <v/>
      </c>
    </row>
    <row r="249">
      <c r="A249" s="22" t="n"/>
      <c r="B249" s="19" t="n"/>
      <c r="C249" s="19" t="n"/>
      <c r="D249" s="18">
        <f>IF(C249="","",IFERROR(INDEX('Quy dinh'!$B$14:$B$18,MATCH(C249,'Quy dinh'!$A$14:$A$18,0)),"Mã lỗi không hợp lệ"))</f>
        <v/>
      </c>
      <c r="E249" s="7">
        <f>IF(C249="","",IFERROR(INDEX('Quy dinh'!$C$14:$C$18,MATCH(C249,'Quy dinh'!$A$14:$A$18,0)),0))</f>
        <v/>
      </c>
      <c r="F249" s="19" t="n"/>
      <c r="G249" s="19" t="n"/>
      <c r="H249" s="17">
        <f>IF(A249="","",TEXT(A249,"yyyy-mm"))</f>
        <v/>
      </c>
    </row>
    <row r="250">
      <c r="A250" s="22" t="n"/>
      <c r="B250" s="19" t="n"/>
      <c r="C250" s="19" t="n"/>
      <c r="D250" s="18">
        <f>IF(C250="","",IFERROR(INDEX('Quy dinh'!$B$14:$B$18,MATCH(C250,'Quy dinh'!$A$14:$A$18,0)),"Mã lỗi không hợp lệ"))</f>
        <v/>
      </c>
      <c r="E250" s="7">
        <f>IF(C250="","",IFERROR(INDEX('Quy dinh'!$C$14:$C$18,MATCH(C250,'Quy dinh'!$A$14:$A$18,0)),0))</f>
        <v/>
      </c>
      <c r="F250" s="19" t="n"/>
      <c r="G250" s="19" t="n"/>
      <c r="H250" s="17">
        <f>IF(A250="","",TEXT(A250,"yyyy-mm"))</f>
        <v/>
      </c>
    </row>
    <row r="251">
      <c r="A251" s="22" t="n"/>
      <c r="B251" s="19" t="n"/>
      <c r="C251" s="19" t="n"/>
      <c r="D251" s="18">
        <f>IF(C251="","",IFERROR(INDEX('Quy dinh'!$B$14:$B$18,MATCH(C251,'Quy dinh'!$A$14:$A$18,0)),"Mã lỗi không hợp lệ"))</f>
        <v/>
      </c>
      <c r="E251" s="7">
        <f>IF(C251="","",IFERROR(INDEX('Quy dinh'!$C$14:$C$18,MATCH(C251,'Quy dinh'!$A$14:$A$18,0)),0))</f>
        <v/>
      </c>
      <c r="F251" s="19" t="n"/>
      <c r="G251" s="19" t="n"/>
      <c r="H251" s="17">
        <f>IF(A251="","",TEXT(A251,"yyyy-mm"))</f>
        <v/>
      </c>
    </row>
    <row r="252">
      <c r="A252" s="22" t="n"/>
      <c r="B252" s="19" t="n"/>
      <c r="C252" s="19" t="n"/>
      <c r="D252" s="18">
        <f>IF(C252="","",IFERROR(INDEX('Quy dinh'!$B$14:$B$18,MATCH(C252,'Quy dinh'!$A$14:$A$18,0)),"Mã lỗi không hợp lệ"))</f>
        <v/>
      </c>
      <c r="E252" s="7">
        <f>IF(C252="","",IFERROR(INDEX('Quy dinh'!$C$14:$C$18,MATCH(C252,'Quy dinh'!$A$14:$A$18,0)),0))</f>
        <v/>
      </c>
      <c r="F252" s="19" t="n"/>
      <c r="G252" s="19" t="n"/>
      <c r="H252" s="17">
        <f>IF(A252="","",TEXT(A252,"yyyy-mm"))</f>
        <v/>
      </c>
    </row>
    <row r="253">
      <c r="A253" s="22" t="n"/>
      <c r="B253" s="19" t="n"/>
      <c r="C253" s="19" t="n"/>
      <c r="D253" s="18">
        <f>IF(C253="","",IFERROR(INDEX('Quy dinh'!$B$14:$B$18,MATCH(C253,'Quy dinh'!$A$14:$A$18,0)),"Mã lỗi không hợp lệ"))</f>
        <v/>
      </c>
      <c r="E253" s="7">
        <f>IF(C253="","",IFERROR(INDEX('Quy dinh'!$C$14:$C$18,MATCH(C253,'Quy dinh'!$A$14:$A$18,0)),0))</f>
        <v/>
      </c>
      <c r="F253" s="19" t="n"/>
      <c r="G253" s="19" t="n"/>
      <c r="H253" s="17">
        <f>IF(A253="","",TEXT(A253,"yyyy-mm"))</f>
        <v/>
      </c>
    </row>
    <row r="254">
      <c r="A254" s="22" t="n"/>
      <c r="B254" s="19" t="n"/>
      <c r="C254" s="19" t="n"/>
      <c r="D254" s="18">
        <f>IF(C254="","",IFERROR(INDEX('Quy dinh'!$B$14:$B$18,MATCH(C254,'Quy dinh'!$A$14:$A$18,0)),"Mã lỗi không hợp lệ"))</f>
        <v/>
      </c>
      <c r="E254" s="7">
        <f>IF(C254="","",IFERROR(INDEX('Quy dinh'!$C$14:$C$18,MATCH(C254,'Quy dinh'!$A$14:$A$18,0)),0))</f>
        <v/>
      </c>
      <c r="F254" s="19" t="n"/>
      <c r="G254" s="19" t="n"/>
      <c r="H254" s="17">
        <f>IF(A254="","",TEXT(A254,"yyyy-mm"))</f>
        <v/>
      </c>
    </row>
    <row r="255">
      <c r="A255" s="22" t="n"/>
      <c r="B255" s="19" t="n"/>
      <c r="C255" s="19" t="n"/>
      <c r="D255" s="18">
        <f>IF(C255="","",IFERROR(INDEX('Quy dinh'!$B$14:$B$18,MATCH(C255,'Quy dinh'!$A$14:$A$18,0)),"Mã lỗi không hợp lệ"))</f>
        <v/>
      </c>
      <c r="E255" s="7">
        <f>IF(C255="","",IFERROR(INDEX('Quy dinh'!$C$14:$C$18,MATCH(C255,'Quy dinh'!$A$14:$A$18,0)),0))</f>
        <v/>
      </c>
      <c r="F255" s="19" t="n"/>
      <c r="G255" s="19" t="n"/>
      <c r="H255" s="17">
        <f>IF(A255="","",TEXT(A255,"yyyy-mm"))</f>
        <v/>
      </c>
    </row>
    <row r="256">
      <c r="A256" s="22" t="n"/>
      <c r="B256" s="19" t="n"/>
      <c r="C256" s="19" t="n"/>
      <c r="D256" s="18">
        <f>IF(C256="","",IFERROR(INDEX('Quy dinh'!$B$14:$B$18,MATCH(C256,'Quy dinh'!$A$14:$A$18,0)),"Mã lỗi không hợp lệ"))</f>
        <v/>
      </c>
      <c r="E256" s="7">
        <f>IF(C256="","",IFERROR(INDEX('Quy dinh'!$C$14:$C$18,MATCH(C256,'Quy dinh'!$A$14:$A$18,0)),0))</f>
        <v/>
      </c>
      <c r="F256" s="19" t="n"/>
      <c r="G256" s="19" t="n"/>
      <c r="H256" s="17">
        <f>IF(A256="","",TEXT(A256,"yyyy-mm"))</f>
        <v/>
      </c>
    </row>
    <row r="257">
      <c r="A257" s="22" t="n"/>
      <c r="B257" s="19" t="n"/>
      <c r="C257" s="19" t="n"/>
      <c r="D257" s="18">
        <f>IF(C257="","",IFERROR(INDEX('Quy dinh'!$B$14:$B$18,MATCH(C257,'Quy dinh'!$A$14:$A$18,0)),"Mã lỗi không hợp lệ"))</f>
        <v/>
      </c>
      <c r="E257" s="7">
        <f>IF(C257="","",IFERROR(INDEX('Quy dinh'!$C$14:$C$18,MATCH(C257,'Quy dinh'!$A$14:$A$18,0)),0))</f>
        <v/>
      </c>
      <c r="F257" s="19" t="n"/>
      <c r="G257" s="19" t="n"/>
      <c r="H257" s="17">
        <f>IF(A257="","",TEXT(A257,"yyyy-mm"))</f>
        <v/>
      </c>
    </row>
    <row r="258">
      <c r="A258" s="22" t="n"/>
      <c r="B258" s="19" t="n"/>
      <c r="C258" s="19" t="n"/>
      <c r="D258" s="18">
        <f>IF(C258="","",IFERROR(INDEX('Quy dinh'!$B$14:$B$18,MATCH(C258,'Quy dinh'!$A$14:$A$18,0)),"Mã lỗi không hợp lệ"))</f>
        <v/>
      </c>
      <c r="E258" s="7">
        <f>IF(C258="","",IFERROR(INDEX('Quy dinh'!$C$14:$C$18,MATCH(C258,'Quy dinh'!$A$14:$A$18,0)),0))</f>
        <v/>
      </c>
      <c r="F258" s="19" t="n"/>
      <c r="G258" s="19" t="n"/>
      <c r="H258" s="17">
        <f>IF(A258="","",TEXT(A258,"yyyy-mm"))</f>
        <v/>
      </c>
    </row>
    <row r="259">
      <c r="A259" s="22" t="n"/>
      <c r="B259" s="19" t="n"/>
      <c r="C259" s="19" t="n"/>
      <c r="D259" s="18">
        <f>IF(C259="","",IFERROR(INDEX('Quy dinh'!$B$14:$B$18,MATCH(C259,'Quy dinh'!$A$14:$A$18,0)),"Mã lỗi không hợp lệ"))</f>
        <v/>
      </c>
      <c r="E259" s="7">
        <f>IF(C259="","",IFERROR(INDEX('Quy dinh'!$C$14:$C$18,MATCH(C259,'Quy dinh'!$A$14:$A$18,0)),0))</f>
        <v/>
      </c>
      <c r="F259" s="19" t="n"/>
      <c r="G259" s="19" t="n"/>
      <c r="H259" s="17">
        <f>IF(A259="","",TEXT(A259,"yyyy-mm"))</f>
        <v/>
      </c>
    </row>
    <row r="260">
      <c r="A260" s="22" t="n"/>
      <c r="B260" s="19" t="n"/>
      <c r="C260" s="19" t="n"/>
      <c r="D260" s="18">
        <f>IF(C260="","",IFERROR(INDEX('Quy dinh'!$B$14:$B$18,MATCH(C260,'Quy dinh'!$A$14:$A$18,0)),"Mã lỗi không hợp lệ"))</f>
        <v/>
      </c>
      <c r="E260" s="7">
        <f>IF(C260="","",IFERROR(INDEX('Quy dinh'!$C$14:$C$18,MATCH(C260,'Quy dinh'!$A$14:$A$18,0)),0))</f>
        <v/>
      </c>
      <c r="F260" s="19" t="n"/>
      <c r="G260" s="19" t="n"/>
      <c r="H260" s="17">
        <f>IF(A260="","",TEXT(A260,"yyyy-mm"))</f>
        <v/>
      </c>
    </row>
    <row r="261">
      <c r="A261" s="22" t="n"/>
      <c r="B261" s="19" t="n"/>
      <c r="C261" s="19" t="n"/>
      <c r="D261" s="18">
        <f>IF(C261="","",IFERROR(INDEX('Quy dinh'!$B$14:$B$18,MATCH(C261,'Quy dinh'!$A$14:$A$18,0)),"Mã lỗi không hợp lệ"))</f>
        <v/>
      </c>
      <c r="E261" s="7">
        <f>IF(C261="","",IFERROR(INDEX('Quy dinh'!$C$14:$C$18,MATCH(C261,'Quy dinh'!$A$14:$A$18,0)),0))</f>
        <v/>
      </c>
      <c r="F261" s="19" t="n"/>
      <c r="G261" s="19" t="n"/>
      <c r="H261" s="17">
        <f>IF(A261="","",TEXT(A261,"yyyy-mm"))</f>
        <v/>
      </c>
    </row>
    <row r="262">
      <c r="A262" s="22" t="n"/>
      <c r="B262" s="19" t="n"/>
      <c r="C262" s="19" t="n"/>
      <c r="D262" s="18">
        <f>IF(C262="","",IFERROR(INDEX('Quy dinh'!$B$14:$B$18,MATCH(C262,'Quy dinh'!$A$14:$A$18,0)),"Mã lỗi không hợp lệ"))</f>
        <v/>
      </c>
      <c r="E262" s="7">
        <f>IF(C262="","",IFERROR(INDEX('Quy dinh'!$C$14:$C$18,MATCH(C262,'Quy dinh'!$A$14:$A$18,0)),0))</f>
        <v/>
      </c>
      <c r="F262" s="19" t="n"/>
      <c r="G262" s="19" t="n"/>
      <c r="H262" s="17">
        <f>IF(A262="","",TEXT(A262,"yyyy-mm"))</f>
        <v/>
      </c>
    </row>
    <row r="263">
      <c r="A263" s="22" t="n"/>
      <c r="B263" s="19" t="n"/>
      <c r="C263" s="19" t="n"/>
      <c r="D263" s="18">
        <f>IF(C263="","",IFERROR(INDEX('Quy dinh'!$B$14:$B$18,MATCH(C263,'Quy dinh'!$A$14:$A$18,0)),"Mã lỗi không hợp lệ"))</f>
        <v/>
      </c>
      <c r="E263" s="7">
        <f>IF(C263="","",IFERROR(INDEX('Quy dinh'!$C$14:$C$18,MATCH(C263,'Quy dinh'!$A$14:$A$18,0)),0))</f>
        <v/>
      </c>
      <c r="F263" s="19" t="n"/>
      <c r="G263" s="19" t="n"/>
      <c r="H263" s="17">
        <f>IF(A263="","",TEXT(A263,"yyyy-mm"))</f>
        <v/>
      </c>
    </row>
    <row r="264">
      <c r="A264" s="22" t="n"/>
      <c r="B264" s="19" t="n"/>
      <c r="C264" s="19" t="n"/>
      <c r="D264" s="18">
        <f>IF(C264="","",IFERROR(INDEX('Quy dinh'!$B$14:$B$18,MATCH(C264,'Quy dinh'!$A$14:$A$18,0)),"Mã lỗi không hợp lệ"))</f>
        <v/>
      </c>
      <c r="E264" s="7">
        <f>IF(C264="","",IFERROR(INDEX('Quy dinh'!$C$14:$C$18,MATCH(C264,'Quy dinh'!$A$14:$A$18,0)),0))</f>
        <v/>
      </c>
      <c r="F264" s="19" t="n"/>
      <c r="G264" s="19" t="n"/>
      <c r="H264" s="17">
        <f>IF(A264="","",TEXT(A264,"yyyy-mm"))</f>
        <v/>
      </c>
    </row>
    <row r="265">
      <c r="A265" s="22" t="n"/>
      <c r="B265" s="19" t="n"/>
      <c r="C265" s="19" t="n"/>
      <c r="D265" s="18">
        <f>IF(C265="","",IFERROR(INDEX('Quy dinh'!$B$14:$B$18,MATCH(C265,'Quy dinh'!$A$14:$A$18,0)),"Mã lỗi không hợp lệ"))</f>
        <v/>
      </c>
      <c r="E265" s="7">
        <f>IF(C265="","",IFERROR(INDEX('Quy dinh'!$C$14:$C$18,MATCH(C265,'Quy dinh'!$A$14:$A$18,0)),0))</f>
        <v/>
      </c>
      <c r="F265" s="19" t="n"/>
      <c r="G265" s="19" t="n"/>
      <c r="H265" s="17">
        <f>IF(A265="","",TEXT(A265,"yyyy-mm"))</f>
        <v/>
      </c>
    </row>
    <row r="266">
      <c r="A266" s="22" t="n"/>
      <c r="B266" s="19" t="n"/>
      <c r="C266" s="19" t="n"/>
      <c r="D266" s="18">
        <f>IF(C266="","",IFERROR(INDEX('Quy dinh'!$B$14:$B$18,MATCH(C266,'Quy dinh'!$A$14:$A$18,0)),"Mã lỗi không hợp lệ"))</f>
        <v/>
      </c>
      <c r="E266" s="7">
        <f>IF(C266="","",IFERROR(INDEX('Quy dinh'!$C$14:$C$18,MATCH(C266,'Quy dinh'!$A$14:$A$18,0)),0))</f>
        <v/>
      </c>
      <c r="F266" s="19" t="n"/>
      <c r="G266" s="19" t="n"/>
      <c r="H266" s="17">
        <f>IF(A266="","",TEXT(A266,"yyyy-mm"))</f>
        <v/>
      </c>
    </row>
    <row r="267">
      <c r="A267" s="22" t="n"/>
      <c r="B267" s="19" t="n"/>
      <c r="C267" s="19" t="n"/>
      <c r="D267" s="18">
        <f>IF(C267="","",IFERROR(INDEX('Quy dinh'!$B$14:$B$18,MATCH(C267,'Quy dinh'!$A$14:$A$18,0)),"Mã lỗi không hợp lệ"))</f>
        <v/>
      </c>
      <c r="E267" s="7">
        <f>IF(C267="","",IFERROR(INDEX('Quy dinh'!$C$14:$C$18,MATCH(C267,'Quy dinh'!$A$14:$A$18,0)),0))</f>
        <v/>
      </c>
      <c r="F267" s="19" t="n"/>
      <c r="G267" s="19" t="n"/>
      <c r="H267" s="17">
        <f>IF(A267="","",TEXT(A267,"yyyy-mm"))</f>
        <v/>
      </c>
    </row>
    <row r="268">
      <c r="A268" s="22" t="n"/>
      <c r="B268" s="19" t="n"/>
      <c r="C268" s="19" t="n"/>
      <c r="D268" s="18">
        <f>IF(C268="","",IFERROR(INDEX('Quy dinh'!$B$14:$B$18,MATCH(C268,'Quy dinh'!$A$14:$A$18,0)),"Mã lỗi không hợp lệ"))</f>
        <v/>
      </c>
      <c r="E268" s="7">
        <f>IF(C268="","",IFERROR(INDEX('Quy dinh'!$C$14:$C$18,MATCH(C268,'Quy dinh'!$A$14:$A$18,0)),0))</f>
        <v/>
      </c>
      <c r="F268" s="19" t="n"/>
      <c r="G268" s="19" t="n"/>
      <c r="H268" s="17">
        <f>IF(A268="","",TEXT(A268,"yyyy-mm"))</f>
        <v/>
      </c>
    </row>
    <row r="269">
      <c r="A269" s="22" t="n"/>
      <c r="B269" s="19" t="n"/>
      <c r="C269" s="19" t="n"/>
      <c r="D269" s="18">
        <f>IF(C269="","",IFERROR(INDEX('Quy dinh'!$B$14:$B$18,MATCH(C269,'Quy dinh'!$A$14:$A$18,0)),"Mã lỗi không hợp lệ"))</f>
        <v/>
      </c>
      <c r="E269" s="7">
        <f>IF(C269="","",IFERROR(INDEX('Quy dinh'!$C$14:$C$18,MATCH(C269,'Quy dinh'!$A$14:$A$18,0)),0))</f>
        <v/>
      </c>
      <c r="F269" s="19" t="n"/>
      <c r="G269" s="19" t="n"/>
      <c r="H269" s="17">
        <f>IF(A269="","",TEXT(A269,"yyyy-mm"))</f>
        <v/>
      </c>
    </row>
    <row r="270">
      <c r="A270" s="22" t="n"/>
      <c r="B270" s="19" t="n"/>
      <c r="C270" s="19" t="n"/>
      <c r="D270" s="18">
        <f>IF(C270="","",IFERROR(INDEX('Quy dinh'!$B$14:$B$18,MATCH(C270,'Quy dinh'!$A$14:$A$18,0)),"Mã lỗi không hợp lệ"))</f>
        <v/>
      </c>
      <c r="E270" s="7">
        <f>IF(C270="","",IFERROR(INDEX('Quy dinh'!$C$14:$C$18,MATCH(C270,'Quy dinh'!$A$14:$A$18,0)),0))</f>
        <v/>
      </c>
      <c r="F270" s="19" t="n"/>
      <c r="G270" s="19" t="n"/>
      <c r="H270" s="17">
        <f>IF(A270="","",TEXT(A270,"yyyy-mm"))</f>
        <v/>
      </c>
    </row>
    <row r="271">
      <c r="A271" s="22" t="n"/>
      <c r="B271" s="19" t="n"/>
      <c r="C271" s="19" t="n"/>
      <c r="D271" s="18">
        <f>IF(C271="","",IFERROR(INDEX('Quy dinh'!$B$14:$B$18,MATCH(C271,'Quy dinh'!$A$14:$A$18,0)),"Mã lỗi không hợp lệ"))</f>
        <v/>
      </c>
      <c r="E271" s="7">
        <f>IF(C271="","",IFERROR(INDEX('Quy dinh'!$C$14:$C$18,MATCH(C271,'Quy dinh'!$A$14:$A$18,0)),0))</f>
        <v/>
      </c>
      <c r="F271" s="19" t="n"/>
      <c r="G271" s="19" t="n"/>
      <c r="H271" s="17">
        <f>IF(A271="","",TEXT(A271,"yyyy-mm"))</f>
        <v/>
      </c>
    </row>
    <row r="272">
      <c r="A272" s="22" t="n"/>
      <c r="B272" s="19" t="n"/>
      <c r="C272" s="19" t="n"/>
      <c r="D272" s="18">
        <f>IF(C272="","",IFERROR(INDEX('Quy dinh'!$B$14:$B$18,MATCH(C272,'Quy dinh'!$A$14:$A$18,0)),"Mã lỗi không hợp lệ"))</f>
        <v/>
      </c>
      <c r="E272" s="7">
        <f>IF(C272="","",IFERROR(INDEX('Quy dinh'!$C$14:$C$18,MATCH(C272,'Quy dinh'!$A$14:$A$18,0)),0))</f>
        <v/>
      </c>
      <c r="F272" s="19" t="n"/>
      <c r="G272" s="19" t="n"/>
      <c r="H272" s="17">
        <f>IF(A272="","",TEXT(A272,"yyyy-mm"))</f>
        <v/>
      </c>
    </row>
    <row r="273">
      <c r="A273" s="22" t="n"/>
      <c r="B273" s="19" t="n"/>
      <c r="C273" s="19" t="n"/>
      <c r="D273" s="18">
        <f>IF(C273="","",IFERROR(INDEX('Quy dinh'!$B$14:$B$18,MATCH(C273,'Quy dinh'!$A$14:$A$18,0)),"Mã lỗi không hợp lệ"))</f>
        <v/>
      </c>
      <c r="E273" s="7">
        <f>IF(C273="","",IFERROR(INDEX('Quy dinh'!$C$14:$C$18,MATCH(C273,'Quy dinh'!$A$14:$A$18,0)),0))</f>
        <v/>
      </c>
      <c r="F273" s="19" t="n"/>
      <c r="G273" s="19" t="n"/>
      <c r="H273" s="17">
        <f>IF(A273="","",TEXT(A273,"yyyy-mm"))</f>
        <v/>
      </c>
    </row>
    <row r="274">
      <c r="A274" s="22" t="n"/>
      <c r="B274" s="19" t="n"/>
      <c r="C274" s="19" t="n"/>
      <c r="D274" s="18">
        <f>IF(C274="","",IFERROR(INDEX('Quy dinh'!$B$14:$B$18,MATCH(C274,'Quy dinh'!$A$14:$A$18,0)),"Mã lỗi không hợp lệ"))</f>
        <v/>
      </c>
      <c r="E274" s="7">
        <f>IF(C274="","",IFERROR(INDEX('Quy dinh'!$C$14:$C$18,MATCH(C274,'Quy dinh'!$A$14:$A$18,0)),0))</f>
        <v/>
      </c>
      <c r="F274" s="19" t="n"/>
      <c r="G274" s="19" t="n"/>
      <c r="H274" s="17">
        <f>IF(A274="","",TEXT(A274,"yyyy-mm"))</f>
        <v/>
      </c>
    </row>
    <row r="275">
      <c r="A275" s="22" t="n"/>
      <c r="B275" s="19" t="n"/>
      <c r="C275" s="19" t="n"/>
      <c r="D275" s="18">
        <f>IF(C275="","",IFERROR(INDEX('Quy dinh'!$B$14:$B$18,MATCH(C275,'Quy dinh'!$A$14:$A$18,0)),"Mã lỗi không hợp lệ"))</f>
        <v/>
      </c>
      <c r="E275" s="7">
        <f>IF(C275="","",IFERROR(INDEX('Quy dinh'!$C$14:$C$18,MATCH(C275,'Quy dinh'!$A$14:$A$18,0)),0))</f>
        <v/>
      </c>
      <c r="F275" s="19" t="n"/>
      <c r="G275" s="19" t="n"/>
      <c r="H275" s="17">
        <f>IF(A275="","",TEXT(A275,"yyyy-mm"))</f>
        <v/>
      </c>
    </row>
    <row r="276">
      <c r="A276" s="22" t="n"/>
      <c r="B276" s="19" t="n"/>
      <c r="C276" s="19" t="n"/>
      <c r="D276" s="18">
        <f>IF(C276="","",IFERROR(INDEX('Quy dinh'!$B$14:$B$18,MATCH(C276,'Quy dinh'!$A$14:$A$18,0)),"Mã lỗi không hợp lệ"))</f>
        <v/>
      </c>
      <c r="E276" s="7">
        <f>IF(C276="","",IFERROR(INDEX('Quy dinh'!$C$14:$C$18,MATCH(C276,'Quy dinh'!$A$14:$A$18,0)),0))</f>
        <v/>
      </c>
      <c r="F276" s="19" t="n"/>
      <c r="G276" s="19" t="n"/>
      <c r="H276" s="17">
        <f>IF(A276="","",TEXT(A276,"yyyy-mm"))</f>
        <v/>
      </c>
    </row>
    <row r="277">
      <c r="A277" s="22" t="n"/>
      <c r="B277" s="19" t="n"/>
      <c r="C277" s="19" t="n"/>
      <c r="D277" s="18">
        <f>IF(C277="","",IFERROR(INDEX('Quy dinh'!$B$14:$B$18,MATCH(C277,'Quy dinh'!$A$14:$A$18,0)),"Mã lỗi không hợp lệ"))</f>
        <v/>
      </c>
      <c r="E277" s="7">
        <f>IF(C277="","",IFERROR(INDEX('Quy dinh'!$C$14:$C$18,MATCH(C277,'Quy dinh'!$A$14:$A$18,0)),0))</f>
        <v/>
      </c>
      <c r="F277" s="19" t="n"/>
      <c r="G277" s="19" t="n"/>
      <c r="H277" s="17">
        <f>IF(A277="","",TEXT(A277,"yyyy-mm"))</f>
        <v/>
      </c>
    </row>
    <row r="278">
      <c r="A278" s="22" t="n"/>
      <c r="B278" s="19" t="n"/>
      <c r="C278" s="19" t="n"/>
      <c r="D278" s="18">
        <f>IF(C278="","",IFERROR(INDEX('Quy dinh'!$B$14:$B$18,MATCH(C278,'Quy dinh'!$A$14:$A$18,0)),"Mã lỗi không hợp lệ"))</f>
        <v/>
      </c>
      <c r="E278" s="7">
        <f>IF(C278="","",IFERROR(INDEX('Quy dinh'!$C$14:$C$18,MATCH(C278,'Quy dinh'!$A$14:$A$18,0)),0))</f>
        <v/>
      </c>
      <c r="F278" s="19" t="n"/>
      <c r="G278" s="19" t="n"/>
      <c r="H278" s="17">
        <f>IF(A278="","",TEXT(A278,"yyyy-mm"))</f>
        <v/>
      </c>
    </row>
    <row r="279">
      <c r="A279" s="22" t="n"/>
      <c r="B279" s="19" t="n"/>
      <c r="C279" s="19" t="n"/>
      <c r="D279" s="18">
        <f>IF(C279="","",IFERROR(INDEX('Quy dinh'!$B$14:$B$18,MATCH(C279,'Quy dinh'!$A$14:$A$18,0)),"Mã lỗi không hợp lệ"))</f>
        <v/>
      </c>
      <c r="E279" s="7">
        <f>IF(C279="","",IFERROR(INDEX('Quy dinh'!$C$14:$C$18,MATCH(C279,'Quy dinh'!$A$14:$A$18,0)),0))</f>
        <v/>
      </c>
      <c r="F279" s="19" t="n"/>
      <c r="G279" s="19" t="n"/>
      <c r="H279" s="17">
        <f>IF(A279="","",TEXT(A279,"yyyy-mm"))</f>
        <v/>
      </c>
    </row>
    <row r="280">
      <c r="A280" s="22" t="n"/>
      <c r="B280" s="19" t="n"/>
      <c r="C280" s="19" t="n"/>
      <c r="D280" s="18">
        <f>IF(C280="","",IFERROR(INDEX('Quy dinh'!$B$14:$B$18,MATCH(C280,'Quy dinh'!$A$14:$A$18,0)),"Mã lỗi không hợp lệ"))</f>
        <v/>
      </c>
      <c r="E280" s="7">
        <f>IF(C280="","",IFERROR(INDEX('Quy dinh'!$C$14:$C$18,MATCH(C280,'Quy dinh'!$A$14:$A$18,0)),0))</f>
        <v/>
      </c>
      <c r="F280" s="19" t="n"/>
      <c r="G280" s="19" t="n"/>
      <c r="H280" s="17">
        <f>IF(A280="","",TEXT(A280,"yyyy-mm"))</f>
        <v/>
      </c>
    </row>
    <row r="281">
      <c r="A281" s="22" t="n"/>
      <c r="B281" s="19" t="n"/>
      <c r="C281" s="19" t="n"/>
      <c r="D281" s="18">
        <f>IF(C281="","",IFERROR(INDEX('Quy dinh'!$B$14:$B$18,MATCH(C281,'Quy dinh'!$A$14:$A$18,0)),"Mã lỗi không hợp lệ"))</f>
        <v/>
      </c>
      <c r="E281" s="7">
        <f>IF(C281="","",IFERROR(INDEX('Quy dinh'!$C$14:$C$18,MATCH(C281,'Quy dinh'!$A$14:$A$18,0)),0))</f>
        <v/>
      </c>
      <c r="F281" s="19" t="n"/>
      <c r="G281" s="19" t="n"/>
      <c r="H281" s="17">
        <f>IF(A281="","",TEXT(A281,"yyyy-mm"))</f>
        <v/>
      </c>
    </row>
    <row r="282">
      <c r="A282" s="22" t="n"/>
      <c r="B282" s="19" t="n"/>
      <c r="C282" s="19" t="n"/>
      <c r="D282" s="18">
        <f>IF(C282="","",IFERROR(INDEX('Quy dinh'!$B$14:$B$18,MATCH(C282,'Quy dinh'!$A$14:$A$18,0)),"Mã lỗi không hợp lệ"))</f>
        <v/>
      </c>
      <c r="E282" s="7">
        <f>IF(C282="","",IFERROR(INDEX('Quy dinh'!$C$14:$C$18,MATCH(C282,'Quy dinh'!$A$14:$A$18,0)),0))</f>
        <v/>
      </c>
      <c r="F282" s="19" t="n"/>
      <c r="G282" s="19" t="n"/>
      <c r="H282" s="17">
        <f>IF(A282="","",TEXT(A282,"yyyy-mm"))</f>
        <v/>
      </c>
    </row>
    <row r="283">
      <c r="A283" s="22" t="n"/>
      <c r="B283" s="19" t="n"/>
      <c r="C283" s="19" t="n"/>
      <c r="D283" s="18">
        <f>IF(C283="","",IFERROR(INDEX('Quy dinh'!$B$14:$B$18,MATCH(C283,'Quy dinh'!$A$14:$A$18,0)),"Mã lỗi không hợp lệ"))</f>
        <v/>
      </c>
      <c r="E283" s="7">
        <f>IF(C283="","",IFERROR(INDEX('Quy dinh'!$C$14:$C$18,MATCH(C283,'Quy dinh'!$A$14:$A$18,0)),0))</f>
        <v/>
      </c>
      <c r="F283" s="19" t="n"/>
      <c r="G283" s="19" t="n"/>
      <c r="H283" s="17">
        <f>IF(A283="","",TEXT(A283,"yyyy-mm"))</f>
        <v/>
      </c>
    </row>
    <row r="284">
      <c r="A284" s="22" t="n"/>
      <c r="B284" s="19" t="n"/>
      <c r="C284" s="19" t="n"/>
      <c r="D284" s="18">
        <f>IF(C284="","",IFERROR(INDEX('Quy dinh'!$B$14:$B$18,MATCH(C284,'Quy dinh'!$A$14:$A$18,0)),"Mã lỗi không hợp lệ"))</f>
        <v/>
      </c>
      <c r="E284" s="7">
        <f>IF(C284="","",IFERROR(INDEX('Quy dinh'!$C$14:$C$18,MATCH(C284,'Quy dinh'!$A$14:$A$18,0)),0))</f>
        <v/>
      </c>
      <c r="F284" s="19" t="n"/>
      <c r="G284" s="19" t="n"/>
      <c r="H284" s="17">
        <f>IF(A284="","",TEXT(A284,"yyyy-mm"))</f>
        <v/>
      </c>
    </row>
    <row r="285">
      <c r="A285" s="22" t="n"/>
      <c r="B285" s="19" t="n"/>
      <c r="C285" s="19" t="n"/>
      <c r="D285" s="18">
        <f>IF(C285="","",IFERROR(INDEX('Quy dinh'!$B$14:$B$18,MATCH(C285,'Quy dinh'!$A$14:$A$18,0)),"Mã lỗi không hợp lệ"))</f>
        <v/>
      </c>
      <c r="E285" s="7">
        <f>IF(C285="","",IFERROR(INDEX('Quy dinh'!$C$14:$C$18,MATCH(C285,'Quy dinh'!$A$14:$A$18,0)),0))</f>
        <v/>
      </c>
      <c r="F285" s="19" t="n"/>
      <c r="G285" s="19" t="n"/>
      <c r="H285" s="17">
        <f>IF(A285="","",TEXT(A285,"yyyy-mm"))</f>
        <v/>
      </c>
    </row>
    <row r="286">
      <c r="A286" s="22" t="n"/>
      <c r="B286" s="19" t="n"/>
      <c r="C286" s="19" t="n"/>
      <c r="D286" s="18">
        <f>IF(C286="","",IFERROR(INDEX('Quy dinh'!$B$14:$B$18,MATCH(C286,'Quy dinh'!$A$14:$A$18,0)),"Mã lỗi không hợp lệ"))</f>
        <v/>
      </c>
      <c r="E286" s="7">
        <f>IF(C286="","",IFERROR(INDEX('Quy dinh'!$C$14:$C$18,MATCH(C286,'Quy dinh'!$A$14:$A$18,0)),0))</f>
        <v/>
      </c>
      <c r="F286" s="19" t="n"/>
      <c r="G286" s="19" t="n"/>
      <c r="H286" s="17">
        <f>IF(A286="","",TEXT(A286,"yyyy-mm"))</f>
        <v/>
      </c>
    </row>
    <row r="287">
      <c r="A287" s="22" t="n"/>
      <c r="B287" s="19" t="n"/>
      <c r="C287" s="19" t="n"/>
      <c r="D287" s="18">
        <f>IF(C287="","",IFERROR(INDEX('Quy dinh'!$B$14:$B$18,MATCH(C287,'Quy dinh'!$A$14:$A$18,0)),"Mã lỗi không hợp lệ"))</f>
        <v/>
      </c>
      <c r="E287" s="7">
        <f>IF(C287="","",IFERROR(INDEX('Quy dinh'!$C$14:$C$18,MATCH(C287,'Quy dinh'!$A$14:$A$18,0)),0))</f>
        <v/>
      </c>
      <c r="F287" s="19" t="n"/>
      <c r="G287" s="19" t="n"/>
      <c r="H287" s="17">
        <f>IF(A287="","",TEXT(A287,"yyyy-mm"))</f>
        <v/>
      </c>
    </row>
    <row r="288">
      <c r="A288" s="22" t="n"/>
      <c r="B288" s="19" t="n"/>
      <c r="C288" s="19" t="n"/>
      <c r="D288" s="18">
        <f>IF(C288="","",IFERROR(INDEX('Quy dinh'!$B$14:$B$18,MATCH(C288,'Quy dinh'!$A$14:$A$18,0)),"Mã lỗi không hợp lệ"))</f>
        <v/>
      </c>
      <c r="E288" s="7">
        <f>IF(C288="","",IFERROR(INDEX('Quy dinh'!$C$14:$C$18,MATCH(C288,'Quy dinh'!$A$14:$A$18,0)),0))</f>
        <v/>
      </c>
      <c r="F288" s="19" t="n"/>
      <c r="G288" s="19" t="n"/>
      <c r="H288" s="17">
        <f>IF(A288="","",TEXT(A288,"yyyy-mm"))</f>
        <v/>
      </c>
    </row>
    <row r="289">
      <c r="A289" s="22" t="n"/>
      <c r="B289" s="19" t="n"/>
      <c r="C289" s="19" t="n"/>
      <c r="D289" s="18">
        <f>IF(C289="","",IFERROR(INDEX('Quy dinh'!$B$14:$B$18,MATCH(C289,'Quy dinh'!$A$14:$A$18,0)),"Mã lỗi không hợp lệ"))</f>
        <v/>
      </c>
      <c r="E289" s="7">
        <f>IF(C289="","",IFERROR(INDEX('Quy dinh'!$C$14:$C$18,MATCH(C289,'Quy dinh'!$A$14:$A$18,0)),0))</f>
        <v/>
      </c>
      <c r="F289" s="19" t="n"/>
      <c r="G289" s="19" t="n"/>
      <c r="H289" s="17">
        <f>IF(A289="","",TEXT(A289,"yyyy-mm"))</f>
        <v/>
      </c>
    </row>
    <row r="290">
      <c r="A290" s="22" t="n"/>
      <c r="B290" s="19" t="n"/>
      <c r="C290" s="19" t="n"/>
      <c r="D290" s="18">
        <f>IF(C290="","",IFERROR(INDEX('Quy dinh'!$B$14:$B$18,MATCH(C290,'Quy dinh'!$A$14:$A$18,0)),"Mã lỗi không hợp lệ"))</f>
        <v/>
      </c>
      <c r="E290" s="7">
        <f>IF(C290="","",IFERROR(INDEX('Quy dinh'!$C$14:$C$18,MATCH(C290,'Quy dinh'!$A$14:$A$18,0)),0))</f>
        <v/>
      </c>
      <c r="F290" s="19" t="n"/>
      <c r="G290" s="19" t="n"/>
      <c r="H290" s="17">
        <f>IF(A290="","",TEXT(A290,"yyyy-mm"))</f>
        <v/>
      </c>
    </row>
    <row r="291">
      <c r="A291" s="22" t="n"/>
      <c r="B291" s="19" t="n"/>
      <c r="C291" s="19" t="n"/>
      <c r="D291" s="18">
        <f>IF(C291="","",IFERROR(INDEX('Quy dinh'!$B$14:$B$18,MATCH(C291,'Quy dinh'!$A$14:$A$18,0)),"Mã lỗi không hợp lệ"))</f>
        <v/>
      </c>
      <c r="E291" s="7">
        <f>IF(C291="","",IFERROR(INDEX('Quy dinh'!$C$14:$C$18,MATCH(C291,'Quy dinh'!$A$14:$A$18,0)),0))</f>
        <v/>
      </c>
      <c r="F291" s="19" t="n"/>
      <c r="G291" s="19" t="n"/>
      <c r="H291" s="17">
        <f>IF(A291="","",TEXT(A291,"yyyy-mm"))</f>
        <v/>
      </c>
    </row>
    <row r="292">
      <c r="A292" s="22" t="n"/>
      <c r="B292" s="19" t="n"/>
      <c r="C292" s="19" t="n"/>
      <c r="D292" s="18">
        <f>IF(C292="","",IFERROR(INDEX('Quy dinh'!$B$14:$B$18,MATCH(C292,'Quy dinh'!$A$14:$A$18,0)),"Mã lỗi không hợp lệ"))</f>
        <v/>
      </c>
      <c r="E292" s="7">
        <f>IF(C292="","",IFERROR(INDEX('Quy dinh'!$C$14:$C$18,MATCH(C292,'Quy dinh'!$A$14:$A$18,0)),0))</f>
        <v/>
      </c>
      <c r="F292" s="19" t="n"/>
      <c r="G292" s="19" t="n"/>
      <c r="H292" s="17">
        <f>IF(A292="","",TEXT(A292,"yyyy-mm"))</f>
        <v/>
      </c>
    </row>
    <row r="293">
      <c r="A293" s="22" t="n"/>
      <c r="B293" s="19" t="n"/>
      <c r="C293" s="19" t="n"/>
      <c r="D293" s="18">
        <f>IF(C293="","",IFERROR(INDEX('Quy dinh'!$B$14:$B$18,MATCH(C293,'Quy dinh'!$A$14:$A$18,0)),"Mã lỗi không hợp lệ"))</f>
        <v/>
      </c>
      <c r="E293" s="7">
        <f>IF(C293="","",IFERROR(INDEX('Quy dinh'!$C$14:$C$18,MATCH(C293,'Quy dinh'!$A$14:$A$18,0)),0))</f>
        <v/>
      </c>
      <c r="F293" s="19" t="n"/>
      <c r="G293" s="19" t="n"/>
      <c r="H293" s="17">
        <f>IF(A293="","",TEXT(A293,"yyyy-mm"))</f>
        <v/>
      </c>
    </row>
    <row r="294">
      <c r="A294" s="22" t="n"/>
      <c r="B294" s="19" t="n"/>
      <c r="C294" s="19" t="n"/>
      <c r="D294" s="18">
        <f>IF(C294="","",IFERROR(INDEX('Quy dinh'!$B$14:$B$18,MATCH(C294,'Quy dinh'!$A$14:$A$18,0)),"Mã lỗi không hợp lệ"))</f>
        <v/>
      </c>
      <c r="E294" s="7">
        <f>IF(C294="","",IFERROR(INDEX('Quy dinh'!$C$14:$C$18,MATCH(C294,'Quy dinh'!$A$14:$A$18,0)),0))</f>
        <v/>
      </c>
      <c r="F294" s="19" t="n"/>
      <c r="G294" s="19" t="n"/>
      <c r="H294" s="17">
        <f>IF(A294="","",TEXT(A294,"yyyy-mm"))</f>
        <v/>
      </c>
    </row>
    <row r="295">
      <c r="A295" s="22" t="n"/>
      <c r="B295" s="19" t="n"/>
      <c r="C295" s="19" t="n"/>
      <c r="D295" s="18">
        <f>IF(C295="","",IFERROR(INDEX('Quy dinh'!$B$14:$B$18,MATCH(C295,'Quy dinh'!$A$14:$A$18,0)),"Mã lỗi không hợp lệ"))</f>
        <v/>
      </c>
      <c r="E295" s="7">
        <f>IF(C295="","",IFERROR(INDEX('Quy dinh'!$C$14:$C$18,MATCH(C295,'Quy dinh'!$A$14:$A$18,0)),0))</f>
        <v/>
      </c>
      <c r="F295" s="19" t="n"/>
      <c r="G295" s="19" t="n"/>
      <c r="H295" s="17">
        <f>IF(A295="","",TEXT(A295,"yyyy-mm"))</f>
        <v/>
      </c>
    </row>
    <row r="296">
      <c r="A296" s="22" t="n"/>
      <c r="B296" s="19" t="n"/>
      <c r="C296" s="19" t="n"/>
      <c r="D296" s="18">
        <f>IF(C296="","",IFERROR(INDEX('Quy dinh'!$B$14:$B$18,MATCH(C296,'Quy dinh'!$A$14:$A$18,0)),"Mã lỗi không hợp lệ"))</f>
        <v/>
      </c>
      <c r="E296" s="7">
        <f>IF(C296="","",IFERROR(INDEX('Quy dinh'!$C$14:$C$18,MATCH(C296,'Quy dinh'!$A$14:$A$18,0)),0))</f>
        <v/>
      </c>
      <c r="F296" s="19" t="n"/>
      <c r="G296" s="19" t="n"/>
      <c r="H296" s="17">
        <f>IF(A296="","",TEXT(A296,"yyyy-mm"))</f>
        <v/>
      </c>
    </row>
    <row r="297">
      <c r="A297" s="22" t="n"/>
      <c r="B297" s="19" t="n"/>
      <c r="C297" s="19" t="n"/>
      <c r="D297" s="18">
        <f>IF(C297="","",IFERROR(INDEX('Quy dinh'!$B$14:$B$18,MATCH(C297,'Quy dinh'!$A$14:$A$18,0)),"Mã lỗi không hợp lệ"))</f>
        <v/>
      </c>
      <c r="E297" s="7">
        <f>IF(C297="","",IFERROR(INDEX('Quy dinh'!$C$14:$C$18,MATCH(C297,'Quy dinh'!$A$14:$A$18,0)),0))</f>
        <v/>
      </c>
      <c r="F297" s="19" t="n"/>
      <c r="G297" s="19" t="n"/>
      <c r="H297" s="17">
        <f>IF(A297="","",TEXT(A297,"yyyy-mm"))</f>
        <v/>
      </c>
    </row>
    <row r="298">
      <c r="A298" s="22" t="n"/>
      <c r="B298" s="19" t="n"/>
      <c r="C298" s="19" t="n"/>
      <c r="D298" s="18">
        <f>IF(C298="","",IFERROR(INDEX('Quy dinh'!$B$14:$B$18,MATCH(C298,'Quy dinh'!$A$14:$A$18,0)),"Mã lỗi không hợp lệ"))</f>
        <v/>
      </c>
      <c r="E298" s="7">
        <f>IF(C298="","",IFERROR(INDEX('Quy dinh'!$C$14:$C$18,MATCH(C298,'Quy dinh'!$A$14:$A$18,0)),0))</f>
        <v/>
      </c>
      <c r="F298" s="19" t="n"/>
      <c r="G298" s="19" t="n"/>
      <c r="H298" s="17">
        <f>IF(A298="","",TEXT(A298,"yyyy-mm"))</f>
        <v/>
      </c>
    </row>
    <row r="299">
      <c r="A299" s="22" t="n"/>
      <c r="B299" s="19" t="n"/>
      <c r="C299" s="19" t="n"/>
      <c r="D299" s="18">
        <f>IF(C299="","",IFERROR(INDEX('Quy dinh'!$B$14:$B$18,MATCH(C299,'Quy dinh'!$A$14:$A$18,0)),"Mã lỗi không hợp lệ"))</f>
        <v/>
      </c>
      <c r="E299" s="7">
        <f>IF(C299="","",IFERROR(INDEX('Quy dinh'!$C$14:$C$18,MATCH(C299,'Quy dinh'!$A$14:$A$18,0)),0))</f>
        <v/>
      </c>
      <c r="F299" s="19" t="n"/>
      <c r="G299" s="19" t="n"/>
      <c r="H299" s="17">
        <f>IF(A299="","",TEXT(A299,"yyyy-mm"))</f>
        <v/>
      </c>
    </row>
    <row r="300">
      <c r="A300" s="22" t="n"/>
      <c r="B300" s="19" t="n"/>
      <c r="C300" s="19" t="n"/>
      <c r="D300" s="18">
        <f>IF(C300="","",IFERROR(INDEX('Quy dinh'!$B$14:$B$18,MATCH(C300,'Quy dinh'!$A$14:$A$18,0)),"Mã lỗi không hợp lệ"))</f>
        <v/>
      </c>
      <c r="E300" s="7">
        <f>IF(C300="","",IFERROR(INDEX('Quy dinh'!$C$14:$C$18,MATCH(C300,'Quy dinh'!$A$14:$A$18,0)),0))</f>
        <v/>
      </c>
      <c r="F300" s="19" t="n"/>
      <c r="G300" s="19" t="n"/>
      <c r="H300" s="17">
        <f>IF(A300="","",TEXT(A300,"yyyy-mm"))</f>
        <v/>
      </c>
    </row>
    <row r="301">
      <c r="A301" s="22" t="n"/>
      <c r="B301" s="19" t="n"/>
      <c r="C301" s="19" t="n"/>
      <c r="D301" s="18">
        <f>IF(C301="","",IFERROR(INDEX('Quy dinh'!$B$14:$B$18,MATCH(C301,'Quy dinh'!$A$14:$A$18,0)),"Mã lỗi không hợp lệ"))</f>
        <v/>
      </c>
      <c r="E301" s="7">
        <f>IF(C301="","",IFERROR(INDEX('Quy dinh'!$C$14:$C$18,MATCH(C301,'Quy dinh'!$A$14:$A$18,0)),0))</f>
        <v/>
      </c>
      <c r="F301" s="19" t="n"/>
      <c r="G301" s="19" t="n"/>
      <c r="H301" s="17">
        <f>IF(A301="","",TEXT(A301,"yyyy-mm"))</f>
        <v/>
      </c>
    </row>
    <row r="302">
      <c r="A302" s="22" t="n"/>
      <c r="B302" s="19" t="n"/>
      <c r="C302" s="19" t="n"/>
      <c r="D302" s="18">
        <f>IF(C302="","",IFERROR(INDEX('Quy dinh'!$B$14:$B$18,MATCH(C302,'Quy dinh'!$A$14:$A$18,0)),"Mã lỗi không hợp lệ"))</f>
        <v/>
      </c>
      <c r="E302" s="7">
        <f>IF(C302="","",IFERROR(INDEX('Quy dinh'!$C$14:$C$18,MATCH(C302,'Quy dinh'!$A$14:$A$18,0)),0))</f>
        <v/>
      </c>
      <c r="F302" s="19" t="n"/>
      <c r="G302" s="19" t="n"/>
      <c r="H302" s="17">
        <f>IF(A302="","",TEXT(A302,"yyyy-mm"))</f>
        <v/>
      </c>
    </row>
    <row r="303">
      <c r="A303" s="22" t="n"/>
      <c r="B303" s="19" t="n"/>
      <c r="C303" s="19" t="n"/>
      <c r="D303" s="18">
        <f>IF(C303="","",IFERROR(INDEX('Quy dinh'!$B$14:$B$18,MATCH(C303,'Quy dinh'!$A$14:$A$18,0)),"Mã lỗi không hợp lệ"))</f>
        <v/>
      </c>
      <c r="E303" s="7">
        <f>IF(C303="","",IFERROR(INDEX('Quy dinh'!$C$14:$C$18,MATCH(C303,'Quy dinh'!$A$14:$A$18,0)),0))</f>
        <v/>
      </c>
      <c r="F303" s="19" t="n"/>
      <c r="G303" s="19" t="n"/>
      <c r="H303" s="17">
        <f>IF(A303="","",TEXT(A303,"yyyy-mm"))</f>
        <v/>
      </c>
    </row>
    <row r="304">
      <c r="A304" s="22" t="n"/>
      <c r="B304" s="19" t="n"/>
      <c r="C304" s="19" t="n"/>
      <c r="D304" s="18">
        <f>IF(C304="","",IFERROR(INDEX('Quy dinh'!$B$14:$B$18,MATCH(C304,'Quy dinh'!$A$14:$A$18,0)),"Mã lỗi không hợp lệ"))</f>
        <v/>
      </c>
      <c r="E304" s="7">
        <f>IF(C304="","",IFERROR(INDEX('Quy dinh'!$C$14:$C$18,MATCH(C304,'Quy dinh'!$A$14:$A$18,0)),0))</f>
        <v/>
      </c>
      <c r="F304" s="19" t="n"/>
      <c r="G304" s="19" t="n"/>
      <c r="H304" s="17">
        <f>IF(A304="","",TEXT(A304,"yyyy-mm"))</f>
        <v/>
      </c>
    </row>
    <row r="305">
      <c r="A305" s="22" t="n"/>
      <c r="B305" s="19" t="n"/>
      <c r="C305" s="19" t="n"/>
      <c r="D305" s="18">
        <f>IF(C305="","",IFERROR(INDEX('Quy dinh'!$B$14:$B$18,MATCH(C305,'Quy dinh'!$A$14:$A$18,0)),"Mã lỗi không hợp lệ"))</f>
        <v/>
      </c>
      <c r="E305" s="7">
        <f>IF(C305="","",IFERROR(INDEX('Quy dinh'!$C$14:$C$18,MATCH(C305,'Quy dinh'!$A$14:$A$18,0)),0))</f>
        <v/>
      </c>
      <c r="F305" s="19" t="n"/>
      <c r="G305" s="19" t="n"/>
      <c r="H305" s="17">
        <f>IF(A305="","",TEXT(A305,"yyyy-mm"))</f>
        <v/>
      </c>
    </row>
    <row r="306">
      <c r="A306" s="22" t="n"/>
      <c r="B306" s="19" t="n"/>
      <c r="C306" s="19" t="n"/>
      <c r="D306" s="18">
        <f>IF(C306="","",IFERROR(INDEX('Quy dinh'!$B$14:$B$18,MATCH(C306,'Quy dinh'!$A$14:$A$18,0)),"Mã lỗi không hợp lệ"))</f>
        <v/>
      </c>
      <c r="E306" s="7">
        <f>IF(C306="","",IFERROR(INDEX('Quy dinh'!$C$14:$C$18,MATCH(C306,'Quy dinh'!$A$14:$A$18,0)),0))</f>
        <v/>
      </c>
      <c r="F306" s="19" t="n"/>
      <c r="G306" s="19" t="n"/>
      <c r="H306" s="17">
        <f>IF(A306="","",TEXT(A306,"yyyy-mm"))</f>
        <v/>
      </c>
    </row>
    <row r="307">
      <c r="A307" s="22" t="n"/>
      <c r="B307" s="19" t="n"/>
      <c r="C307" s="19" t="n"/>
      <c r="D307" s="18">
        <f>IF(C307="","",IFERROR(INDEX('Quy dinh'!$B$14:$B$18,MATCH(C307,'Quy dinh'!$A$14:$A$18,0)),"Mã lỗi không hợp lệ"))</f>
        <v/>
      </c>
      <c r="E307" s="7">
        <f>IF(C307="","",IFERROR(INDEX('Quy dinh'!$C$14:$C$18,MATCH(C307,'Quy dinh'!$A$14:$A$18,0)),0))</f>
        <v/>
      </c>
      <c r="F307" s="19" t="n"/>
      <c r="G307" s="19" t="n"/>
      <c r="H307" s="17">
        <f>IF(A307="","",TEXT(A307,"yyyy-mm"))</f>
        <v/>
      </c>
    </row>
    <row r="308">
      <c r="A308" s="22" t="n"/>
      <c r="B308" s="19" t="n"/>
      <c r="C308" s="19" t="n"/>
      <c r="D308" s="18">
        <f>IF(C308="","",IFERROR(INDEX('Quy dinh'!$B$14:$B$18,MATCH(C308,'Quy dinh'!$A$14:$A$18,0)),"Mã lỗi không hợp lệ"))</f>
        <v/>
      </c>
      <c r="E308" s="7">
        <f>IF(C308="","",IFERROR(INDEX('Quy dinh'!$C$14:$C$18,MATCH(C308,'Quy dinh'!$A$14:$A$18,0)),0))</f>
        <v/>
      </c>
      <c r="F308" s="19" t="n"/>
      <c r="G308" s="19" t="n"/>
      <c r="H308" s="17">
        <f>IF(A308="","",TEXT(A308,"yyyy-mm"))</f>
        <v/>
      </c>
    </row>
    <row r="309">
      <c r="A309" s="22" t="n"/>
      <c r="B309" s="19" t="n"/>
      <c r="C309" s="19" t="n"/>
      <c r="D309" s="18">
        <f>IF(C309="","",IFERROR(INDEX('Quy dinh'!$B$14:$B$18,MATCH(C309,'Quy dinh'!$A$14:$A$18,0)),"Mã lỗi không hợp lệ"))</f>
        <v/>
      </c>
      <c r="E309" s="7">
        <f>IF(C309="","",IFERROR(INDEX('Quy dinh'!$C$14:$C$18,MATCH(C309,'Quy dinh'!$A$14:$A$18,0)),0))</f>
        <v/>
      </c>
      <c r="F309" s="19" t="n"/>
      <c r="G309" s="19" t="n"/>
      <c r="H309" s="17">
        <f>IF(A309="","",TEXT(A309,"yyyy-mm"))</f>
        <v/>
      </c>
    </row>
    <row r="310">
      <c r="A310" s="22" t="n"/>
      <c r="B310" s="19" t="n"/>
      <c r="C310" s="19" t="n"/>
      <c r="D310" s="18">
        <f>IF(C310="","",IFERROR(INDEX('Quy dinh'!$B$14:$B$18,MATCH(C310,'Quy dinh'!$A$14:$A$18,0)),"Mã lỗi không hợp lệ"))</f>
        <v/>
      </c>
      <c r="E310" s="7">
        <f>IF(C310="","",IFERROR(INDEX('Quy dinh'!$C$14:$C$18,MATCH(C310,'Quy dinh'!$A$14:$A$18,0)),0))</f>
        <v/>
      </c>
      <c r="F310" s="19" t="n"/>
      <c r="G310" s="19" t="n"/>
      <c r="H310" s="17">
        <f>IF(A310="","",TEXT(A310,"yyyy-mm"))</f>
        <v/>
      </c>
    </row>
    <row r="311">
      <c r="A311" s="22" t="n"/>
      <c r="B311" s="19" t="n"/>
      <c r="C311" s="19" t="n"/>
      <c r="D311" s="18">
        <f>IF(C311="","",IFERROR(INDEX('Quy dinh'!$B$14:$B$18,MATCH(C311,'Quy dinh'!$A$14:$A$18,0)),"Mã lỗi không hợp lệ"))</f>
        <v/>
      </c>
      <c r="E311" s="7">
        <f>IF(C311="","",IFERROR(INDEX('Quy dinh'!$C$14:$C$18,MATCH(C311,'Quy dinh'!$A$14:$A$18,0)),0))</f>
        <v/>
      </c>
      <c r="F311" s="19" t="n"/>
      <c r="G311" s="19" t="n"/>
      <c r="H311" s="17">
        <f>IF(A311="","",TEXT(A311,"yyyy-mm"))</f>
        <v/>
      </c>
    </row>
    <row r="312">
      <c r="A312" s="22" t="n"/>
      <c r="B312" s="19" t="n"/>
      <c r="C312" s="19" t="n"/>
      <c r="D312" s="18">
        <f>IF(C312="","",IFERROR(INDEX('Quy dinh'!$B$14:$B$18,MATCH(C312,'Quy dinh'!$A$14:$A$18,0)),"Mã lỗi không hợp lệ"))</f>
        <v/>
      </c>
      <c r="E312" s="7">
        <f>IF(C312="","",IFERROR(INDEX('Quy dinh'!$C$14:$C$18,MATCH(C312,'Quy dinh'!$A$14:$A$18,0)),0))</f>
        <v/>
      </c>
      <c r="F312" s="19" t="n"/>
      <c r="G312" s="19" t="n"/>
      <c r="H312" s="17">
        <f>IF(A312="","",TEXT(A312,"yyyy-mm"))</f>
        <v/>
      </c>
    </row>
    <row r="313">
      <c r="A313" s="22" t="n"/>
      <c r="B313" s="19" t="n"/>
      <c r="C313" s="19" t="n"/>
      <c r="D313" s="18">
        <f>IF(C313="","",IFERROR(INDEX('Quy dinh'!$B$14:$B$18,MATCH(C313,'Quy dinh'!$A$14:$A$18,0)),"Mã lỗi không hợp lệ"))</f>
        <v/>
      </c>
      <c r="E313" s="7">
        <f>IF(C313="","",IFERROR(INDEX('Quy dinh'!$C$14:$C$18,MATCH(C313,'Quy dinh'!$A$14:$A$18,0)),0))</f>
        <v/>
      </c>
      <c r="F313" s="19" t="n"/>
      <c r="G313" s="19" t="n"/>
      <c r="H313" s="17">
        <f>IF(A313="","",TEXT(A313,"yyyy-mm"))</f>
        <v/>
      </c>
    </row>
    <row r="314">
      <c r="A314" s="22" t="n"/>
      <c r="B314" s="19" t="n"/>
      <c r="C314" s="19" t="n"/>
      <c r="D314" s="18">
        <f>IF(C314="","",IFERROR(INDEX('Quy dinh'!$B$14:$B$18,MATCH(C314,'Quy dinh'!$A$14:$A$18,0)),"Mã lỗi không hợp lệ"))</f>
        <v/>
      </c>
      <c r="E314" s="7">
        <f>IF(C314="","",IFERROR(INDEX('Quy dinh'!$C$14:$C$18,MATCH(C314,'Quy dinh'!$A$14:$A$18,0)),0))</f>
        <v/>
      </c>
      <c r="F314" s="19" t="n"/>
      <c r="G314" s="19" t="n"/>
      <c r="H314" s="17">
        <f>IF(A314="","",TEXT(A314,"yyyy-mm"))</f>
        <v/>
      </c>
    </row>
    <row r="315">
      <c r="A315" s="22" t="n"/>
      <c r="B315" s="19" t="n"/>
      <c r="C315" s="19" t="n"/>
      <c r="D315" s="18">
        <f>IF(C315="","",IFERROR(INDEX('Quy dinh'!$B$14:$B$18,MATCH(C315,'Quy dinh'!$A$14:$A$18,0)),"Mã lỗi không hợp lệ"))</f>
        <v/>
      </c>
      <c r="E315" s="7">
        <f>IF(C315="","",IFERROR(INDEX('Quy dinh'!$C$14:$C$18,MATCH(C315,'Quy dinh'!$A$14:$A$18,0)),0))</f>
        <v/>
      </c>
      <c r="F315" s="19" t="n"/>
      <c r="G315" s="19" t="n"/>
      <c r="H315" s="17">
        <f>IF(A315="","",TEXT(A315,"yyyy-mm"))</f>
        <v/>
      </c>
    </row>
    <row r="316">
      <c r="A316" s="22" t="n"/>
      <c r="B316" s="19" t="n"/>
      <c r="C316" s="19" t="n"/>
      <c r="D316" s="18">
        <f>IF(C316="","",IFERROR(INDEX('Quy dinh'!$B$14:$B$18,MATCH(C316,'Quy dinh'!$A$14:$A$18,0)),"Mã lỗi không hợp lệ"))</f>
        <v/>
      </c>
      <c r="E316" s="7">
        <f>IF(C316="","",IFERROR(INDEX('Quy dinh'!$C$14:$C$18,MATCH(C316,'Quy dinh'!$A$14:$A$18,0)),0))</f>
        <v/>
      </c>
      <c r="F316" s="19" t="n"/>
      <c r="G316" s="19" t="n"/>
      <c r="H316" s="17">
        <f>IF(A316="","",TEXT(A316,"yyyy-mm"))</f>
        <v/>
      </c>
    </row>
    <row r="317">
      <c r="A317" s="22" t="n"/>
      <c r="B317" s="19" t="n"/>
      <c r="C317" s="19" t="n"/>
      <c r="D317" s="18">
        <f>IF(C317="","",IFERROR(INDEX('Quy dinh'!$B$14:$B$18,MATCH(C317,'Quy dinh'!$A$14:$A$18,0)),"Mã lỗi không hợp lệ"))</f>
        <v/>
      </c>
      <c r="E317" s="7">
        <f>IF(C317="","",IFERROR(INDEX('Quy dinh'!$C$14:$C$18,MATCH(C317,'Quy dinh'!$A$14:$A$18,0)),0))</f>
        <v/>
      </c>
      <c r="F317" s="19" t="n"/>
      <c r="G317" s="19" t="n"/>
      <c r="H317" s="17">
        <f>IF(A317="","",TEXT(A317,"yyyy-mm"))</f>
        <v/>
      </c>
    </row>
    <row r="318">
      <c r="A318" s="22" t="n"/>
      <c r="B318" s="19" t="n"/>
      <c r="C318" s="19" t="n"/>
      <c r="D318" s="18">
        <f>IF(C318="","",IFERROR(INDEX('Quy dinh'!$B$14:$B$18,MATCH(C318,'Quy dinh'!$A$14:$A$18,0)),"Mã lỗi không hợp lệ"))</f>
        <v/>
      </c>
      <c r="E318" s="7">
        <f>IF(C318="","",IFERROR(INDEX('Quy dinh'!$C$14:$C$18,MATCH(C318,'Quy dinh'!$A$14:$A$18,0)),0))</f>
        <v/>
      </c>
      <c r="F318" s="19" t="n"/>
      <c r="G318" s="19" t="n"/>
      <c r="H318" s="17">
        <f>IF(A318="","",TEXT(A318,"yyyy-mm"))</f>
        <v/>
      </c>
    </row>
    <row r="319">
      <c r="A319" s="22" t="n"/>
      <c r="B319" s="19" t="n"/>
      <c r="C319" s="19" t="n"/>
      <c r="D319" s="18">
        <f>IF(C319="","",IFERROR(INDEX('Quy dinh'!$B$14:$B$18,MATCH(C319,'Quy dinh'!$A$14:$A$18,0)),"Mã lỗi không hợp lệ"))</f>
        <v/>
      </c>
      <c r="E319" s="7">
        <f>IF(C319="","",IFERROR(INDEX('Quy dinh'!$C$14:$C$18,MATCH(C319,'Quy dinh'!$A$14:$A$18,0)),0))</f>
        <v/>
      </c>
      <c r="F319" s="19" t="n"/>
      <c r="G319" s="19" t="n"/>
      <c r="H319" s="17">
        <f>IF(A319="","",TEXT(A319,"yyyy-mm"))</f>
        <v/>
      </c>
    </row>
    <row r="320">
      <c r="A320" s="22" t="n"/>
      <c r="B320" s="19" t="n"/>
      <c r="C320" s="19" t="n"/>
      <c r="D320" s="18">
        <f>IF(C320="","",IFERROR(INDEX('Quy dinh'!$B$14:$B$18,MATCH(C320,'Quy dinh'!$A$14:$A$18,0)),"Mã lỗi không hợp lệ"))</f>
        <v/>
      </c>
      <c r="E320" s="7">
        <f>IF(C320="","",IFERROR(INDEX('Quy dinh'!$C$14:$C$18,MATCH(C320,'Quy dinh'!$A$14:$A$18,0)),0))</f>
        <v/>
      </c>
      <c r="F320" s="19" t="n"/>
      <c r="G320" s="19" t="n"/>
      <c r="H320" s="17">
        <f>IF(A320="","",TEXT(A320,"yyyy-mm"))</f>
        <v/>
      </c>
    </row>
    <row r="321">
      <c r="A321" s="22" t="n"/>
      <c r="B321" s="19" t="n"/>
      <c r="C321" s="19" t="n"/>
      <c r="D321" s="18">
        <f>IF(C321="","",IFERROR(INDEX('Quy dinh'!$B$14:$B$18,MATCH(C321,'Quy dinh'!$A$14:$A$18,0)),"Mã lỗi không hợp lệ"))</f>
        <v/>
      </c>
      <c r="E321" s="7">
        <f>IF(C321="","",IFERROR(INDEX('Quy dinh'!$C$14:$C$18,MATCH(C321,'Quy dinh'!$A$14:$A$18,0)),0))</f>
        <v/>
      </c>
      <c r="F321" s="19" t="n"/>
      <c r="G321" s="19" t="n"/>
      <c r="H321" s="17">
        <f>IF(A321="","",TEXT(A321,"yyyy-mm"))</f>
        <v/>
      </c>
    </row>
    <row r="322">
      <c r="A322" s="22" t="n"/>
      <c r="B322" s="19" t="n"/>
      <c r="C322" s="19" t="n"/>
      <c r="D322" s="18">
        <f>IF(C322="","",IFERROR(INDEX('Quy dinh'!$B$14:$B$18,MATCH(C322,'Quy dinh'!$A$14:$A$18,0)),"Mã lỗi không hợp lệ"))</f>
        <v/>
      </c>
      <c r="E322" s="7">
        <f>IF(C322="","",IFERROR(INDEX('Quy dinh'!$C$14:$C$18,MATCH(C322,'Quy dinh'!$A$14:$A$18,0)),0))</f>
        <v/>
      </c>
      <c r="F322" s="19" t="n"/>
      <c r="G322" s="19" t="n"/>
      <c r="H322" s="17">
        <f>IF(A322="","",TEXT(A322,"yyyy-mm"))</f>
        <v/>
      </c>
    </row>
    <row r="323">
      <c r="A323" s="22" t="n"/>
      <c r="B323" s="19" t="n"/>
      <c r="C323" s="19" t="n"/>
      <c r="D323" s="18">
        <f>IF(C323="","",IFERROR(INDEX('Quy dinh'!$B$14:$B$18,MATCH(C323,'Quy dinh'!$A$14:$A$18,0)),"Mã lỗi không hợp lệ"))</f>
        <v/>
      </c>
      <c r="E323" s="7">
        <f>IF(C323="","",IFERROR(INDEX('Quy dinh'!$C$14:$C$18,MATCH(C323,'Quy dinh'!$A$14:$A$18,0)),0))</f>
        <v/>
      </c>
      <c r="F323" s="19" t="n"/>
      <c r="G323" s="19" t="n"/>
      <c r="H323" s="17">
        <f>IF(A323="","",TEXT(A323,"yyyy-mm"))</f>
        <v/>
      </c>
    </row>
    <row r="324">
      <c r="A324" s="22" t="n"/>
      <c r="B324" s="19" t="n"/>
      <c r="C324" s="19" t="n"/>
      <c r="D324" s="18">
        <f>IF(C324="","",IFERROR(INDEX('Quy dinh'!$B$14:$B$18,MATCH(C324,'Quy dinh'!$A$14:$A$18,0)),"Mã lỗi không hợp lệ"))</f>
        <v/>
      </c>
      <c r="E324" s="7">
        <f>IF(C324="","",IFERROR(INDEX('Quy dinh'!$C$14:$C$18,MATCH(C324,'Quy dinh'!$A$14:$A$18,0)),0))</f>
        <v/>
      </c>
      <c r="F324" s="19" t="n"/>
      <c r="G324" s="19" t="n"/>
      <c r="H324" s="17">
        <f>IF(A324="","",TEXT(A324,"yyyy-mm"))</f>
        <v/>
      </c>
    </row>
    <row r="325">
      <c r="A325" s="22" t="n"/>
      <c r="B325" s="19" t="n"/>
      <c r="C325" s="19" t="n"/>
      <c r="D325" s="18">
        <f>IF(C325="","",IFERROR(INDEX('Quy dinh'!$B$14:$B$18,MATCH(C325,'Quy dinh'!$A$14:$A$18,0)),"Mã lỗi không hợp lệ"))</f>
        <v/>
      </c>
      <c r="E325" s="7">
        <f>IF(C325="","",IFERROR(INDEX('Quy dinh'!$C$14:$C$18,MATCH(C325,'Quy dinh'!$A$14:$A$18,0)),0))</f>
        <v/>
      </c>
      <c r="F325" s="19" t="n"/>
      <c r="G325" s="19" t="n"/>
      <c r="H325" s="17">
        <f>IF(A325="","",TEXT(A325,"yyyy-mm"))</f>
        <v/>
      </c>
    </row>
    <row r="326">
      <c r="A326" s="22" t="n"/>
      <c r="B326" s="19" t="n"/>
      <c r="C326" s="19" t="n"/>
      <c r="D326" s="18">
        <f>IF(C326="","",IFERROR(INDEX('Quy dinh'!$B$14:$B$18,MATCH(C326,'Quy dinh'!$A$14:$A$18,0)),"Mã lỗi không hợp lệ"))</f>
        <v/>
      </c>
      <c r="E326" s="7">
        <f>IF(C326="","",IFERROR(INDEX('Quy dinh'!$C$14:$C$18,MATCH(C326,'Quy dinh'!$A$14:$A$18,0)),0))</f>
        <v/>
      </c>
      <c r="F326" s="19" t="n"/>
      <c r="G326" s="19" t="n"/>
      <c r="H326" s="17">
        <f>IF(A326="","",TEXT(A326,"yyyy-mm"))</f>
        <v/>
      </c>
    </row>
    <row r="327">
      <c r="A327" s="22" t="n"/>
      <c r="B327" s="19" t="n"/>
      <c r="C327" s="19" t="n"/>
      <c r="D327" s="18">
        <f>IF(C327="","",IFERROR(INDEX('Quy dinh'!$B$14:$B$18,MATCH(C327,'Quy dinh'!$A$14:$A$18,0)),"Mã lỗi không hợp lệ"))</f>
        <v/>
      </c>
      <c r="E327" s="7">
        <f>IF(C327="","",IFERROR(INDEX('Quy dinh'!$C$14:$C$18,MATCH(C327,'Quy dinh'!$A$14:$A$18,0)),0))</f>
        <v/>
      </c>
      <c r="F327" s="19" t="n"/>
      <c r="G327" s="19" t="n"/>
      <c r="H327" s="17">
        <f>IF(A327="","",TEXT(A327,"yyyy-mm"))</f>
        <v/>
      </c>
    </row>
    <row r="328">
      <c r="A328" s="22" t="n"/>
      <c r="B328" s="19" t="n"/>
      <c r="C328" s="19" t="n"/>
      <c r="D328" s="18">
        <f>IF(C328="","",IFERROR(INDEX('Quy dinh'!$B$14:$B$18,MATCH(C328,'Quy dinh'!$A$14:$A$18,0)),"Mã lỗi không hợp lệ"))</f>
        <v/>
      </c>
      <c r="E328" s="7">
        <f>IF(C328="","",IFERROR(INDEX('Quy dinh'!$C$14:$C$18,MATCH(C328,'Quy dinh'!$A$14:$A$18,0)),0))</f>
        <v/>
      </c>
      <c r="F328" s="19" t="n"/>
      <c r="G328" s="19" t="n"/>
      <c r="H328" s="17">
        <f>IF(A328="","",TEXT(A328,"yyyy-mm"))</f>
        <v/>
      </c>
    </row>
    <row r="329">
      <c r="A329" s="22" t="n"/>
      <c r="B329" s="19" t="n"/>
      <c r="C329" s="19" t="n"/>
      <c r="D329" s="18">
        <f>IF(C329="","",IFERROR(INDEX('Quy dinh'!$B$14:$B$18,MATCH(C329,'Quy dinh'!$A$14:$A$18,0)),"Mã lỗi không hợp lệ"))</f>
        <v/>
      </c>
      <c r="E329" s="7">
        <f>IF(C329="","",IFERROR(INDEX('Quy dinh'!$C$14:$C$18,MATCH(C329,'Quy dinh'!$A$14:$A$18,0)),0))</f>
        <v/>
      </c>
      <c r="F329" s="19" t="n"/>
      <c r="G329" s="19" t="n"/>
      <c r="H329" s="17">
        <f>IF(A329="","",TEXT(A329,"yyyy-mm"))</f>
        <v/>
      </c>
    </row>
    <row r="330">
      <c r="A330" s="22" t="n"/>
      <c r="B330" s="19" t="n"/>
      <c r="C330" s="19" t="n"/>
      <c r="D330" s="18">
        <f>IF(C330="","",IFERROR(INDEX('Quy dinh'!$B$14:$B$18,MATCH(C330,'Quy dinh'!$A$14:$A$18,0)),"Mã lỗi không hợp lệ"))</f>
        <v/>
      </c>
      <c r="E330" s="7">
        <f>IF(C330="","",IFERROR(INDEX('Quy dinh'!$C$14:$C$18,MATCH(C330,'Quy dinh'!$A$14:$A$18,0)),0))</f>
        <v/>
      </c>
      <c r="F330" s="19" t="n"/>
      <c r="G330" s="19" t="n"/>
      <c r="H330" s="17">
        <f>IF(A330="","",TEXT(A330,"yyyy-mm"))</f>
        <v/>
      </c>
    </row>
    <row r="331">
      <c r="A331" s="22" t="n"/>
      <c r="B331" s="19" t="n"/>
      <c r="C331" s="19" t="n"/>
      <c r="D331" s="18">
        <f>IF(C331="","",IFERROR(INDEX('Quy dinh'!$B$14:$B$18,MATCH(C331,'Quy dinh'!$A$14:$A$18,0)),"Mã lỗi không hợp lệ"))</f>
        <v/>
      </c>
      <c r="E331" s="7">
        <f>IF(C331="","",IFERROR(INDEX('Quy dinh'!$C$14:$C$18,MATCH(C331,'Quy dinh'!$A$14:$A$18,0)),0))</f>
        <v/>
      </c>
      <c r="F331" s="19" t="n"/>
      <c r="G331" s="19" t="n"/>
      <c r="H331" s="17">
        <f>IF(A331="","",TEXT(A331,"yyyy-mm"))</f>
        <v/>
      </c>
    </row>
    <row r="332">
      <c r="A332" s="22" t="n"/>
      <c r="B332" s="19" t="n"/>
      <c r="C332" s="19" t="n"/>
      <c r="D332" s="18">
        <f>IF(C332="","",IFERROR(INDEX('Quy dinh'!$B$14:$B$18,MATCH(C332,'Quy dinh'!$A$14:$A$18,0)),"Mã lỗi không hợp lệ"))</f>
        <v/>
      </c>
      <c r="E332" s="7">
        <f>IF(C332="","",IFERROR(INDEX('Quy dinh'!$C$14:$C$18,MATCH(C332,'Quy dinh'!$A$14:$A$18,0)),0))</f>
        <v/>
      </c>
      <c r="F332" s="19" t="n"/>
      <c r="G332" s="19" t="n"/>
      <c r="H332" s="17">
        <f>IF(A332="","",TEXT(A332,"yyyy-mm"))</f>
        <v/>
      </c>
    </row>
    <row r="333">
      <c r="A333" s="22" t="n"/>
      <c r="B333" s="19" t="n"/>
      <c r="C333" s="19" t="n"/>
      <c r="D333" s="18">
        <f>IF(C333="","",IFERROR(INDEX('Quy dinh'!$B$14:$B$18,MATCH(C333,'Quy dinh'!$A$14:$A$18,0)),"Mã lỗi không hợp lệ"))</f>
        <v/>
      </c>
      <c r="E333" s="7">
        <f>IF(C333="","",IFERROR(INDEX('Quy dinh'!$C$14:$C$18,MATCH(C333,'Quy dinh'!$A$14:$A$18,0)),0))</f>
        <v/>
      </c>
      <c r="F333" s="19" t="n"/>
      <c r="G333" s="19" t="n"/>
      <c r="H333" s="17">
        <f>IF(A333="","",TEXT(A333,"yyyy-mm"))</f>
        <v/>
      </c>
    </row>
    <row r="334">
      <c r="A334" s="22" t="n"/>
      <c r="B334" s="19" t="n"/>
      <c r="C334" s="19" t="n"/>
      <c r="D334" s="18">
        <f>IF(C334="","",IFERROR(INDEX('Quy dinh'!$B$14:$B$18,MATCH(C334,'Quy dinh'!$A$14:$A$18,0)),"Mã lỗi không hợp lệ"))</f>
        <v/>
      </c>
      <c r="E334" s="7">
        <f>IF(C334="","",IFERROR(INDEX('Quy dinh'!$C$14:$C$18,MATCH(C334,'Quy dinh'!$A$14:$A$18,0)),0))</f>
        <v/>
      </c>
      <c r="F334" s="19" t="n"/>
      <c r="G334" s="19" t="n"/>
      <c r="H334" s="17">
        <f>IF(A334="","",TEXT(A334,"yyyy-mm"))</f>
        <v/>
      </c>
    </row>
    <row r="335">
      <c r="A335" s="22" t="n"/>
      <c r="B335" s="19" t="n"/>
      <c r="C335" s="19" t="n"/>
      <c r="D335" s="18">
        <f>IF(C335="","",IFERROR(INDEX('Quy dinh'!$B$14:$B$18,MATCH(C335,'Quy dinh'!$A$14:$A$18,0)),"Mã lỗi không hợp lệ"))</f>
        <v/>
      </c>
      <c r="E335" s="7">
        <f>IF(C335="","",IFERROR(INDEX('Quy dinh'!$C$14:$C$18,MATCH(C335,'Quy dinh'!$A$14:$A$18,0)),0))</f>
        <v/>
      </c>
      <c r="F335" s="19" t="n"/>
      <c r="G335" s="19" t="n"/>
      <c r="H335" s="17">
        <f>IF(A335="","",TEXT(A335,"yyyy-mm"))</f>
        <v/>
      </c>
    </row>
    <row r="336">
      <c r="A336" s="22" t="n"/>
      <c r="B336" s="19" t="n"/>
      <c r="C336" s="19" t="n"/>
      <c r="D336" s="18">
        <f>IF(C336="","",IFERROR(INDEX('Quy dinh'!$B$14:$B$18,MATCH(C336,'Quy dinh'!$A$14:$A$18,0)),"Mã lỗi không hợp lệ"))</f>
        <v/>
      </c>
      <c r="E336" s="7">
        <f>IF(C336="","",IFERROR(INDEX('Quy dinh'!$C$14:$C$18,MATCH(C336,'Quy dinh'!$A$14:$A$18,0)),0))</f>
        <v/>
      </c>
      <c r="F336" s="19" t="n"/>
      <c r="G336" s="19" t="n"/>
      <c r="H336" s="17">
        <f>IF(A336="","",TEXT(A336,"yyyy-mm"))</f>
        <v/>
      </c>
    </row>
    <row r="337">
      <c r="A337" s="22" t="n"/>
      <c r="B337" s="19" t="n"/>
      <c r="C337" s="19" t="n"/>
      <c r="D337" s="18">
        <f>IF(C337="","",IFERROR(INDEX('Quy dinh'!$B$14:$B$18,MATCH(C337,'Quy dinh'!$A$14:$A$18,0)),"Mã lỗi không hợp lệ"))</f>
        <v/>
      </c>
      <c r="E337" s="7">
        <f>IF(C337="","",IFERROR(INDEX('Quy dinh'!$C$14:$C$18,MATCH(C337,'Quy dinh'!$A$14:$A$18,0)),0))</f>
        <v/>
      </c>
      <c r="F337" s="19" t="n"/>
      <c r="G337" s="19" t="n"/>
      <c r="H337" s="17">
        <f>IF(A337="","",TEXT(A337,"yyyy-mm"))</f>
        <v/>
      </c>
    </row>
    <row r="338">
      <c r="A338" s="22" t="n"/>
      <c r="B338" s="19" t="n"/>
      <c r="C338" s="19" t="n"/>
      <c r="D338" s="18">
        <f>IF(C338="","",IFERROR(INDEX('Quy dinh'!$B$14:$B$18,MATCH(C338,'Quy dinh'!$A$14:$A$18,0)),"Mã lỗi không hợp lệ"))</f>
        <v/>
      </c>
      <c r="E338" s="7">
        <f>IF(C338="","",IFERROR(INDEX('Quy dinh'!$C$14:$C$18,MATCH(C338,'Quy dinh'!$A$14:$A$18,0)),0))</f>
        <v/>
      </c>
      <c r="F338" s="19" t="n"/>
      <c r="G338" s="19" t="n"/>
      <c r="H338" s="17">
        <f>IF(A338="","",TEXT(A338,"yyyy-mm"))</f>
        <v/>
      </c>
    </row>
    <row r="339">
      <c r="A339" s="22" t="n"/>
      <c r="B339" s="19" t="n"/>
      <c r="C339" s="19" t="n"/>
      <c r="D339" s="18">
        <f>IF(C339="","",IFERROR(INDEX('Quy dinh'!$B$14:$B$18,MATCH(C339,'Quy dinh'!$A$14:$A$18,0)),"Mã lỗi không hợp lệ"))</f>
        <v/>
      </c>
      <c r="E339" s="7">
        <f>IF(C339="","",IFERROR(INDEX('Quy dinh'!$C$14:$C$18,MATCH(C339,'Quy dinh'!$A$14:$A$18,0)),0))</f>
        <v/>
      </c>
      <c r="F339" s="19" t="n"/>
      <c r="G339" s="19" t="n"/>
      <c r="H339" s="17">
        <f>IF(A339="","",TEXT(A339,"yyyy-mm"))</f>
        <v/>
      </c>
    </row>
    <row r="340">
      <c r="A340" s="22" t="n"/>
      <c r="B340" s="19" t="n"/>
      <c r="C340" s="19" t="n"/>
      <c r="D340" s="18">
        <f>IF(C340="","",IFERROR(INDEX('Quy dinh'!$B$14:$B$18,MATCH(C340,'Quy dinh'!$A$14:$A$18,0)),"Mã lỗi không hợp lệ"))</f>
        <v/>
      </c>
      <c r="E340" s="7">
        <f>IF(C340="","",IFERROR(INDEX('Quy dinh'!$C$14:$C$18,MATCH(C340,'Quy dinh'!$A$14:$A$18,0)),0))</f>
        <v/>
      </c>
      <c r="F340" s="19" t="n"/>
      <c r="G340" s="19" t="n"/>
      <c r="H340" s="17">
        <f>IF(A340="","",TEXT(A340,"yyyy-mm"))</f>
        <v/>
      </c>
    </row>
    <row r="341">
      <c r="A341" s="22" t="n"/>
      <c r="B341" s="19" t="n"/>
      <c r="C341" s="19" t="n"/>
      <c r="D341" s="18">
        <f>IF(C341="","",IFERROR(INDEX('Quy dinh'!$B$14:$B$18,MATCH(C341,'Quy dinh'!$A$14:$A$18,0)),"Mã lỗi không hợp lệ"))</f>
        <v/>
      </c>
      <c r="E341" s="7">
        <f>IF(C341="","",IFERROR(INDEX('Quy dinh'!$C$14:$C$18,MATCH(C341,'Quy dinh'!$A$14:$A$18,0)),0))</f>
        <v/>
      </c>
      <c r="F341" s="19" t="n"/>
      <c r="G341" s="19" t="n"/>
      <c r="H341" s="17">
        <f>IF(A341="","",TEXT(A341,"yyyy-mm"))</f>
        <v/>
      </c>
    </row>
    <row r="342">
      <c r="A342" s="22" t="n"/>
      <c r="B342" s="19" t="n"/>
      <c r="C342" s="19" t="n"/>
      <c r="D342" s="18">
        <f>IF(C342="","",IFERROR(INDEX('Quy dinh'!$B$14:$B$18,MATCH(C342,'Quy dinh'!$A$14:$A$18,0)),"Mã lỗi không hợp lệ"))</f>
        <v/>
      </c>
      <c r="E342" s="7">
        <f>IF(C342="","",IFERROR(INDEX('Quy dinh'!$C$14:$C$18,MATCH(C342,'Quy dinh'!$A$14:$A$18,0)),0))</f>
        <v/>
      </c>
      <c r="F342" s="19" t="n"/>
      <c r="G342" s="19" t="n"/>
      <c r="H342" s="17">
        <f>IF(A342="","",TEXT(A342,"yyyy-mm"))</f>
        <v/>
      </c>
    </row>
    <row r="343">
      <c r="A343" s="22" t="n"/>
      <c r="B343" s="19" t="n"/>
      <c r="C343" s="19" t="n"/>
      <c r="D343" s="18">
        <f>IF(C343="","",IFERROR(INDEX('Quy dinh'!$B$14:$B$18,MATCH(C343,'Quy dinh'!$A$14:$A$18,0)),"Mã lỗi không hợp lệ"))</f>
        <v/>
      </c>
      <c r="E343" s="7">
        <f>IF(C343="","",IFERROR(INDEX('Quy dinh'!$C$14:$C$18,MATCH(C343,'Quy dinh'!$A$14:$A$18,0)),0))</f>
        <v/>
      </c>
      <c r="F343" s="19" t="n"/>
      <c r="G343" s="19" t="n"/>
      <c r="H343" s="17">
        <f>IF(A343="","",TEXT(A343,"yyyy-mm"))</f>
        <v/>
      </c>
    </row>
    <row r="344">
      <c r="A344" s="22" t="n"/>
      <c r="B344" s="19" t="n"/>
      <c r="C344" s="19" t="n"/>
      <c r="D344" s="18">
        <f>IF(C344="","",IFERROR(INDEX('Quy dinh'!$B$14:$B$18,MATCH(C344,'Quy dinh'!$A$14:$A$18,0)),"Mã lỗi không hợp lệ"))</f>
        <v/>
      </c>
      <c r="E344" s="7">
        <f>IF(C344="","",IFERROR(INDEX('Quy dinh'!$C$14:$C$18,MATCH(C344,'Quy dinh'!$A$14:$A$18,0)),0))</f>
        <v/>
      </c>
      <c r="F344" s="19" t="n"/>
      <c r="G344" s="19" t="n"/>
      <c r="H344" s="17">
        <f>IF(A344="","",TEXT(A344,"yyyy-mm"))</f>
        <v/>
      </c>
    </row>
    <row r="345">
      <c r="A345" s="22" t="n"/>
      <c r="B345" s="19" t="n"/>
      <c r="C345" s="19" t="n"/>
      <c r="D345" s="18">
        <f>IF(C345="","",IFERROR(INDEX('Quy dinh'!$B$14:$B$18,MATCH(C345,'Quy dinh'!$A$14:$A$18,0)),"Mã lỗi không hợp lệ"))</f>
        <v/>
      </c>
      <c r="E345" s="7">
        <f>IF(C345="","",IFERROR(INDEX('Quy dinh'!$C$14:$C$18,MATCH(C345,'Quy dinh'!$A$14:$A$18,0)),0))</f>
        <v/>
      </c>
      <c r="F345" s="19" t="n"/>
      <c r="G345" s="19" t="n"/>
      <c r="H345" s="17">
        <f>IF(A345="","",TEXT(A345,"yyyy-mm"))</f>
        <v/>
      </c>
    </row>
    <row r="346">
      <c r="A346" s="22" t="n"/>
      <c r="B346" s="19" t="n"/>
      <c r="C346" s="19" t="n"/>
      <c r="D346" s="18">
        <f>IF(C346="","",IFERROR(INDEX('Quy dinh'!$B$14:$B$18,MATCH(C346,'Quy dinh'!$A$14:$A$18,0)),"Mã lỗi không hợp lệ"))</f>
        <v/>
      </c>
      <c r="E346" s="7">
        <f>IF(C346="","",IFERROR(INDEX('Quy dinh'!$C$14:$C$18,MATCH(C346,'Quy dinh'!$A$14:$A$18,0)),0))</f>
        <v/>
      </c>
      <c r="F346" s="19" t="n"/>
      <c r="G346" s="19" t="n"/>
      <c r="H346" s="17">
        <f>IF(A346="","",TEXT(A346,"yyyy-mm"))</f>
        <v/>
      </c>
    </row>
    <row r="347">
      <c r="A347" s="22" t="n"/>
      <c r="B347" s="19" t="n"/>
      <c r="C347" s="19" t="n"/>
      <c r="D347" s="18">
        <f>IF(C347="","",IFERROR(INDEX('Quy dinh'!$B$14:$B$18,MATCH(C347,'Quy dinh'!$A$14:$A$18,0)),"Mã lỗi không hợp lệ"))</f>
        <v/>
      </c>
      <c r="E347" s="7">
        <f>IF(C347="","",IFERROR(INDEX('Quy dinh'!$C$14:$C$18,MATCH(C347,'Quy dinh'!$A$14:$A$18,0)),0))</f>
        <v/>
      </c>
      <c r="F347" s="19" t="n"/>
      <c r="G347" s="19" t="n"/>
      <c r="H347" s="17">
        <f>IF(A347="","",TEXT(A347,"yyyy-mm"))</f>
        <v/>
      </c>
    </row>
    <row r="348">
      <c r="A348" s="22" t="n"/>
      <c r="B348" s="19" t="n"/>
      <c r="C348" s="19" t="n"/>
      <c r="D348" s="18">
        <f>IF(C348="","",IFERROR(INDEX('Quy dinh'!$B$14:$B$18,MATCH(C348,'Quy dinh'!$A$14:$A$18,0)),"Mã lỗi không hợp lệ"))</f>
        <v/>
      </c>
      <c r="E348" s="7">
        <f>IF(C348="","",IFERROR(INDEX('Quy dinh'!$C$14:$C$18,MATCH(C348,'Quy dinh'!$A$14:$A$18,0)),0))</f>
        <v/>
      </c>
      <c r="F348" s="19" t="n"/>
      <c r="G348" s="19" t="n"/>
      <c r="H348" s="17">
        <f>IF(A348="","",TEXT(A348,"yyyy-mm"))</f>
        <v/>
      </c>
    </row>
    <row r="349">
      <c r="A349" s="22" t="n"/>
      <c r="B349" s="19" t="n"/>
      <c r="C349" s="19" t="n"/>
      <c r="D349" s="18">
        <f>IF(C349="","",IFERROR(INDEX('Quy dinh'!$B$14:$B$18,MATCH(C349,'Quy dinh'!$A$14:$A$18,0)),"Mã lỗi không hợp lệ"))</f>
        <v/>
      </c>
      <c r="E349" s="7">
        <f>IF(C349="","",IFERROR(INDEX('Quy dinh'!$C$14:$C$18,MATCH(C349,'Quy dinh'!$A$14:$A$18,0)),0))</f>
        <v/>
      </c>
      <c r="F349" s="19" t="n"/>
      <c r="G349" s="19" t="n"/>
      <c r="H349" s="17">
        <f>IF(A349="","",TEXT(A349,"yyyy-mm"))</f>
        <v/>
      </c>
    </row>
    <row r="350">
      <c r="A350" s="22" t="n"/>
      <c r="B350" s="19" t="n"/>
      <c r="C350" s="19" t="n"/>
      <c r="D350" s="18">
        <f>IF(C350="","",IFERROR(INDEX('Quy dinh'!$B$14:$B$18,MATCH(C350,'Quy dinh'!$A$14:$A$18,0)),"Mã lỗi không hợp lệ"))</f>
        <v/>
      </c>
      <c r="E350" s="7">
        <f>IF(C350="","",IFERROR(INDEX('Quy dinh'!$C$14:$C$18,MATCH(C350,'Quy dinh'!$A$14:$A$18,0)),0))</f>
        <v/>
      </c>
      <c r="F350" s="19" t="n"/>
      <c r="G350" s="19" t="n"/>
      <c r="H350" s="17">
        <f>IF(A350="","",TEXT(A350,"yyyy-mm"))</f>
        <v/>
      </c>
    </row>
    <row r="351">
      <c r="A351" s="22" t="n"/>
      <c r="B351" s="19" t="n"/>
      <c r="C351" s="19" t="n"/>
      <c r="D351" s="18">
        <f>IF(C351="","",IFERROR(INDEX('Quy dinh'!$B$14:$B$18,MATCH(C351,'Quy dinh'!$A$14:$A$18,0)),"Mã lỗi không hợp lệ"))</f>
        <v/>
      </c>
      <c r="E351" s="7">
        <f>IF(C351="","",IFERROR(INDEX('Quy dinh'!$C$14:$C$18,MATCH(C351,'Quy dinh'!$A$14:$A$18,0)),0))</f>
        <v/>
      </c>
      <c r="F351" s="19" t="n"/>
      <c r="G351" s="19" t="n"/>
      <c r="H351" s="17">
        <f>IF(A351="","",TEXT(A351,"yyyy-mm"))</f>
        <v/>
      </c>
    </row>
    <row r="352">
      <c r="A352" s="22" t="n"/>
      <c r="B352" s="19" t="n"/>
      <c r="C352" s="19" t="n"/>
      <c r="D352" s="18">
        <f>IF(C352="","",IFERROR(INDEX('Quy dinh'!$B$14:$B$18,MATCH(C352,'Quy dinh'!$A$14:$A$18,0)),"Mã lỗi không hợp lệ"))</f>
        <v/>
      </c>
      <c r="E352" s="7">
        <f>IF(C352="","",IFERROR(INDEX('Quy dinh'!$C$14:$C$18,MATCH(C352,'Quy dinh'!$A$14:$A$18,0)),0))</f>
        <v/>
      </c>
      <c r="F352" s="19" t="n"/>
      <c r="G352" s="19" t="n"/>
      <c r="H352" s="17">
        <f>IF(A352="","",TEXT(A352,"yyyy-mm"))</f>
        <v/>
      </c>
    </row>
    <row r="353">
      <c r="A353" s="22" t="n"/>
      <c r="B353" s="19" t="n"/>
      <c r="C353" s="19" t="n"/>
      <c r="D353" s="18">
        <f>IF(C353="","",IFERROR(INDEX('Quy dinh'!$B$14:$B$18,MATCH(C353,'Quy dinh'!$A$14:$A$18,0)),"Mã lỗi không hợp lệ"))</f>
        <v/>
      </c>
      <c r="E353" s="7">
        <f>IF(C353="","",IFERROR(INDEX('Quy dinh'!$C$14:$C$18,MATCH(C353,'Quy dinh'!$A$14:$A$18,0)),0))</f>
        <v/>
      </c>
      <c r="F353" s="19" t="n"/>
      <c r="G353" s="19" t="n"/>
      <c r="H353" s="17">
        <f>IF(A353="","",TEXT(A353,"yyyy-mm"))</f>
        <v/>
      </c>
    </row>
    <row r="354">
      <c r="A354" s="22" t="n"/>
      <c r="B354" s="19" t="n"/>
      <c r="C354" s="19" t="n"/>
      <c r="D354" s="18">
        <f>IF(C354="","",IFERROR(INDEX('Quy dinh'!$B$14:$B$18,MATCH(C354,'Quy dinh'!$A$14:$A$18,0)),"Mã lỗi không hợp lệ"))</f>
        <v/>
      </c>
      <c r="E354" s="7">
        <f>IF(C354="","",IFERROR(INDEX('Quy dinh'!$C$14:$C$18,MATCH(C354,'Quy dinh'!$A$14:$A$18,0)),0))</f>
        <v/>
      </c>
      <c r="F354" s="19" t="n"/>
      <c r="G354" s="19" t="n"/>
      <c r="H354" s="17">
        <f>IF(A354="","",TEXT(A354,"yyyy-mm"))</f>
        <v/>
      </c>
    </row>
    <row r="355">
      <c r="A355" s="22" t="n"/>
      <c r="B355" s="19" t="n"/>
      <c r="C355" s="19" t="n"/>
      <c r="D355" s="18">
        <f>IF(C355="","",IFERROR(INDEX('Quy dinh'!$B$14:$B$18,MATCH(C355,'Quy dinh'!$A$14:$A$18,0)),"Mã lỗi không hợp lệ"))</f>
        <v/>
      </c>
      <c r="E355" s="7">
        <f>IF(C355="","",IFERROR(INDEX('Quy dinh'!$C$14:$C$18,MATCH(C355,'Quy dinh'!$A$14:$A$18,0)),0))</f>
        <v/>
      </c>
      <c r="F355" s="19" t="n"/>
      <c r="G355" s="19" t="n"/>
      <c r="H355" s="17">
        <f>IF(A355="","",TEXT(A355,"yyyy-mm"))</f>
        <v/>
      </c>
    </row>
    <row r="356">
      <c r="A356" s="22" t="n"/>
      <c r="B356" s="19" t="n"/>
      <c r="C356" s="19" t="n"/>
      <c r="D356" s="18">
        <f>IF(C356="","",IFERROR(INDEX('Quy dinh'!$B$14:$B$18,MATCH(C356,'Quy dinh'!$A$14:$A$18,0)),"Mã lỗi không hợp lệ"))</f>
        <v/>
      </c>
      <c r="E356" s="7">
        <f>IF(C356="","",IFERROR(INDEX('Quy dinh'!$C$14:$C$18,MATCH(C356,'Quy dinh'!$A$14:$A$18,0)),0))</f>
        <v/>
      </c>
      <c r="F356" s="19" t="n"/>
      <c r="G356" s="19" t="n"/>
      <c r="H356" s="17">
        <f>IF(A356="","",TEXT(A356,"yyyy-mm"))</f>
        <v/>
      </c>
    </row>
    <row r="357">
      <c r="A357" s="22" t="n"/>
      <c r="B357" s="19" t="n"/>
      <c r="C357" s="19" t="n"/>
      <c r="D357" s="18">
        <f>IF(C357="","",IFERROR(INDEX('Quy dinh'!$B$14:$B$18,MATCH(C357,'Quy dinh'!$A$14:$A$18,0)),"Mã lỗi không hợp lệ"))</f>
        <v/>
      </c>
      <c r="E357" s="7">
        <f>IF(C357="","",IFERROR(INDEX('Quy dinh'!$C$14:$C$18,MATCH(C357,'Quy dinh'!$A$14:$A$18,0)),0))</f>
        <v/>
      </c>
      <c r="F357" s="19" t="n"/>
      <c r="G357" s="19" t="n"/>
      <c r="H357" s="17">
        <f>IF(A357="","",TEXT(A357,"yyyy-mm"))</f>
        <v/>
      </c>
    </row>
    <row r="358">
      <c r="A358" s="22" t="n"/>
      <c r="B358" s="19" t="n"/>
      <c r="C358" s="19" t="n"/>
      <c r="D358" s="18">
        <f>IF(C358="","",IFERROR(INDEX('Quy dinh'!$B$14:$B$18,MATCH(C358,'Quy dinh'!$A$14:$A$18,0)),"Mã lỗi không hợp lệ"))</f>
        <v/>
      </c>
      <c r="E358" s="7">
        <f>IF(C358="","",IFERROR(INDEX('Quy dinh'!$C$14:$C$18,MATCH(C358,'Quy dinh'!$A$14:$A$18,0)),0))</f>
        <v/>
      </c>
      <c r="F358" s="19" t="n"/>
      <c r="G358" s="19" t="n"/>
      <c r="H358" s="17">
        <f>IF(A358="","",TEXT(A358,"yyyy-mm"))</f>
        <v/>
      </c>
    </row>
    <row r="359">
      <c r="A359" s="22" t="n"/>
      <c r="B359" s="19" t="n"/>
      <c r="C359" s="19" t="n"/>
      <c r="D359" s="18">
        <f>IF(C359="","",IFERROR(INDEX('Quy dinh'!$B$14:$B$18,MATCH(C359,'Quy dinh'!$A$14:$A$18,0)),"Mã lỗi không hợp lệ"))</f>
        <v/>
      </c>
      <c r="E359" s="7">
        <f>IF(C359="","",IFERROR(INDEX('Quy dinh'!$C$14:$C$18,MATCH(C359,'Quy dinh'!$A$14:$A$18,0)),0))</f>
        <v/>
      </c>
      <c r="F359" s="19" t="n"/>
      <c r="G359" s="19" t="n"/>
      <c r="H359" s="17">
        <f>IF(A359="","",TEXT(A359,"yyyy-mm"))</f>
        <v/>
      </c>
    </row>
    <row r="360">
      <c r="A360" s="22" t="n"/>
      <c r="B360" s="19" t="n"/>
      <c r="C360" s="19" t="n"/>
      <c r="D360" s="18">
        <f>IF(C360="","",IFERROR(INDEX('Quy dinh'!$B$14:$B$18,MATCH(C360,'Quy dinh'!$A$14:$A$18,0)),"Mã lỗi không hợp lệ"))</f>
        <v/>
      </c>
      <c r="E360" s="7">
        <f>IF(C360="","",IFERROR(INDEX('Quy dinh'!$C$14:$C$18,MATCH(C360,'Quy dinh'!$A$14:$A$18,0)),0))</f>
        <v/>
      </c>
      <c r="F360" s="19" t="n"/>
      <c r="G360" s="19" t="n"/>
      <c r="H360" s="17">
        <f>IF(A360="","",TEXT(A360,"yyyy-mm"))</f>
        <v/>
      </c>
    </row>
    <row r="361">
      <c r="A361" s="22" t="n"/>
      <c r="B361" s="19" t="n"/>
      <c r="C361" s="19" t="n"/>
      <c r="D361" s="18">
        <f>IF(C361="","",IFERROR(INDEX('Quy dinh'!$B$14:$B$18,MATCH(C361,'Quy dinh'!$A$14:$A$18,0)),"Mã lỗi không hợp lệ"))</f>
        <v/>
      </c>
      <c r="E361" s="7">
        <f>IF(C361="","",IFERROR(INDEX('Quy dinh'!$C$14:$C$18,MATCH(C361,'Quy dinh'!$A$14:$A$18,0)),0))</f>
        <v/>
      </c>
      <c r="F361" s="19" t="n"/>
      <c r="G361" s="19" t="n"/>
      <c r="H361" s="17">
        <f>IF(A361="","",TEXT(A361,"yyyy-mm"))</f>
        <v/>
      </c>
    </row>
    <row r="362">
      <c r="A362" s="22" t="n"/>
      <c r="B362" s="19" t="n"/>
      <c r="C362" s="19" t="n"/>
      <c r="D362" s="18">
        <f>IF(C362="","",IFERROR(INDEX('Quy dinh'!$B$14:$B$18,MATCH(C362,'Quy dinh'!$A$14:$A$18,0)),"Mã lỗi không hợp lệ"))</f>
        <v/>
      </c>
      <c r="E362" s="7">
        <f>IF(C362="","",IFERROR(INDEX('Quy dinh'!$C$14:$C$18,MATCH(C362,'Quy dinh'!$A$14:$A$18,0)),0))</f>
        <v/>
      </c>
      <c r="F362" s="19" t="n"/>
      <c r="G362" s="19" t="n"/>
      <c r="H362" s="17">
        <f>IF(A362="","",TEXT(A362,"yyyy-mm"))</f>
        <v/>
      </c>
    </row>
    <row r="363">
      <c r="A363" s="22" t="n"/>
      <c r="B363" s="19" t="n"/>
      <c r="C363" s="19" t="n"/>
      <c r="D363" s="18">
        <f>IF(C363="","",IFERROR(INDEX('Quy dinh'!$B$14:$B$18,MATCH(C363,'Quy dinh'!$A$14:$A$18,0)),"Mã lỗi không hợp lệ"))</f>
        <v/>
      </c>
      <c r="E363" s="7">
        <f>IF(C363="","",IFERROR(INDEX('Quy dinh'!$C$14:$C$18,MATCH(C363,'Quy dinh'!$A$14:$A$18,0)),0))</f>
        <v/>
      </c>
      <c r="F363" s="19" t="n"/>
      <c r="G363" s="19" t="n"/>
      <c r="H363" s="17">
        <f>IF(A363="","",TEXT(A363,"yyyy-mm"))</f>
        <v/>
      </c>
    </row>
    <row r="364">
      <c r="A364" s="22" t="n"/>
      <c r="B364" s="19" t="n"/>
      <c r="C364" s="19" t="n"/>
      <c r="D364" s="18">
        <f>IF(C364="","",IFERROR(INDEX('Quy dinh'!$B$14:$B$18,MATCH(C364,'Quy dinh'!$A$14:$A$18,0)),"Mã lỗi không hợp lệ"))</f>
        <v/>
      </c>
      <c r="E364" s="7">
        <f>IF(C364="","",IFERROR(INDEX('Quy dinh'!$C$14:$C$18,MATCH(C364,'Quy dinh'!$A$14:$A$18,0)),0))</f>
        <v/>
      </c>
      <c r="F364" s="19" t="n"/>
      <c r="G364" s="19" t="n"/>
      <c r="H364" s="17">
        <f>IF(A364="","",TEXT(A364,"yyyy-mm"))</f>
        <v/>
      </c>
    </row>
    <row r="365">
      <c r="A365" s="22" t="n"/>
      <c r="B365" s="19" t="n"/>
      <c r="C365" s="19" t="n"/>
      <c r="D365" s="18">
        <f>IF(C365="","",IFERROR(INDEX('Quy dinh'!$B$14:$B$18,MATCH(C365,'Quy dinh'!$A$14:$A$18,0)),"Mã lỗi không hợp lệ"))</f>
        <v/>
      </c>
      <c r="E365" s="7">
        <f>IF(C365="","",IFERROR(INDEX('Quy dinh'!$C$14:$C$18,MATCH(C365,'Quy dinh'!$A$14:$A$18,0)),0))</f>
        <v/>
      </c>
      <c r="F365" s="19" t="n"/>
      <c r="G365" s="19" t="n"/>
      <c r="H365" s="17">
        <f>IF(A365="","",TEXT(A365,"yyyy-mm"))</f>
        <v/>
      </c>
    </row>
    <row r="366">
      <c r="A366" s="22" t="n"/>
      <c r="B366" s="19" t="n"/>
      <c r="C366" s="19" t="n"/>
      <c r="D366" s="18">
        <f>IF(C366="","",IFERROR(INDEX('Quy dinh'!$B$14:$B$18,MATCH(C366,'Quy dinh'!$A$14:$A$18,0)),"Mã lỗi không hợp lệ"))</f>
        <v/>
      </c>
      <c r="E366" s="7">
        <f>IF(C366="","",IFERROR(INDEX('Quy dinh'!$C$14:$C$18,MATCH(C366,'Quy dinh'!$A$14:$A$18,0)),0))</f>
        <v/>
      </c>
      <c r="F366" s="19" t="n"/>
      <c r="G366" s="19" t="n"/>
      <c r="H366" s="17">
        <f>IF(A366="","",TEXT(A366,"yyyy-mm"))</f>
        <v/>
      </c>
    </row>
    <row r="367">
      <c r="A367" s="22" t="n"/>
      <c r="B367" s="19" t="n"/>
      <c r="C367" s="19" t="n"/>
      <c r="D367" s="18">
        <f>IF(C367="","",IFERROR(INDEX('Quy dinh'!$B$14:$B$18,MATCH(C367,'Quy dinh'!$A$14:$A$18,0)),"Mã lỗi không hợp lệ"))</f>
        <v/>
      </c>
      <c r="E367" s="7">
        <f>IF(C367="","",IFERROR(INDEX('Quy dinh'!$C$14:$C$18,MATCH(C367,'Quy dinh'!$A$14:$A$18,0)),0))</f>
        <v/>
      </c>
      <c r="F367" s="19" t="n"/>
      <c r="G367" s="19" t="n"/>
      <c r="H367" s="17">
        <f>IF(A367="","",TEXT(A367,"yyyy-mm"))</f>
        <v/>
      </c>
    </row>
    <row r="368">
      <c r="A368" s="22" t="n"/>
      <c r="B368" s="19" t="n"/>
      <c r="C368" s="19" t="n"/>
      <c r="D368" s="18">
        <f>IF(C368="","",IFERROR(INDEX('Quy dinh'!$B$14:$B$18,MATCH(C368,'Quy dinh'!$A$14:$A$18,0)),"Mã lỗi không hợp lệ"))</f>
        <v/>
      </c>
      <c r="E368" s="7">
        <f>IF(C368="","",IFERROR(INDEX('Quy dinh'!$C$14:$C$18,MATCH(C368,'Quy dinh'!$A$14:$A$18,0)),0))</f>
        <v/>
      </c>
      <c r="F368" s="19" t="n"/>
      <c r="G368" s="19" t="n"/>
      <c r="H368" s="17">
        <f>IF(A368="","",TEXT(A368,"yyyy-mm"))</f>
        <v/>
      </c>
    </row>
    <row r="369">
      <c r="A369" s="22" t="n"/>
      <c r="B369" s="19" t="n"/>
      <c r="C369" s="19" t="n"/>
      <c r="D369" s="18">
        <f>IF(C369="","",IFERROR(INDEX('Quy dinh'!$B$14:$B$18,MATCH(C369,'Quy dinh'!$A$14:$A$18,0)),"Mã lỗi không hợp lệ"))</f>
        <v/>
      </c>
      <c r="E369" s="7">
        <f>IF(C369="","",IFERROR(INDEX('Quy dinh'!$C$14:$C$18,MATCH(C369,'Quy dinh'!$A$14:$A$18,0)),0))</f>
        <v/>
      </c>
      <c r="F369" s="19" t="n"/>
      <c r="G369" s="19" t="n"/>
      <c r="H369" s="17">
        <f>IF(A369="","",TEXT(A369,"yyyy-mm"))</f>
        <v/>
      </c>
    </row>
    <row r="370">
      <c r="A370" s="22" t="n"/>
      <c r="B370" s="19" t="n"/>
      <c r="C370" s="19" t="n"/>
      <c r="D370" s="18">
        <f>IF(C370="","",IFERROR(INDEX('Quy dinh'!$B$14:$B$18,MATCH(C370,'Quy dinh'!$A$14:$A$18,0)),"Mã lỗi không hợp lệ"))</f>
        <v/>
      </c>
      <c r="E370" s="7">
        <f>IF(C370="","",IFERROR(INDEX('Quy dinh'!$C$14:$C$18,MATCH(C370,'Quy dinh'!$A$14:$A$18,0)),0))</f>
        <v/>
      </c>
      <c r="F370" s="19" t="n"/>
      <c r="G370" s="19" t="n"/>
      <c r="H370" s="17">
        <f>IF(A370="","",TEXT(A370,"yyyy-mm"))</f>
        <v/>
      </c>
    </row>
    <row r="371">
      <c r="A371" s="22" t="n"/>
      <c r="B371" s="19" t="n"/>
      <c r="C371" s="19" t="n"/>
      <c r="D371" s="18">
        <f>IF(C371="","",IFERROR(INDEX('Quy dinh'!$B$14:$B$18,MATCH(C371,'Quy dinh'!$A$14:$A$18,0)),"Mã lỗi không hợp lệ"))</f>
        <v/>
      </c>
      <c r="E371" s="7">
        <f>IF(C371="","",IFERROR(INDEX('Quy dinh'!$C$14:$C$18,MATCH(C371,'Quy dinh'!$A$14:$A$18,0)),0))</f>
        <v/>
      </c>
      <c r="F371" s="19" t="n"/>
      <c r="G371" s="19" t="n"/>
      <c r="H371" s="17">
        <f>IF(A371="","",TEXT(A371,"yyyy-mm"))</f>
        <v/>
      </c>
    </row>
    <row r="372">
      <c r="A372" s="22" t="n"/>
      <c r="B372" s="19" t="n"/>
      <c r="C372" s="19" t="n"/>
      <c r="D372" s="18">
        <f>IF(C372="","",IFERROR(INDEX('Quy dinh'!$B$14:$B$18,MATCH(C372,'Quy dinh'!$A$14:$A$18,0)),"Mã lỗi không hợp lệ"))</f>
        <v/>
      </c>
      <c r="E372" s="7">
        <f>IF(C372="","",IFERROR(INDEX('Quy dinh'!$C$14:$C$18,MATCH(C372,'Quy dinh'!$A$14:$A$18,0)),0))</f>
        <v/>
      </c>
      <c r="F372" s="19" t="n"/>
      <c r="G372" s="19" t="n"/>
      <c r="H372" s="17">
        <f>IF(A372="","",TEXT(A372,"yyyy-mm"))</f>
        <v/>
      </c>
    </row>
    <row r="373">
      <c r="A373" s="22" t="n"/>
      <c r="B373" s="19" t="n"/>
      <c r="C373" s="19" t="n"/>
      <c r="D373" s="18">
        <f>IF(C373="","",IFERROR(INDEX('Quy dinh'!$B$14:$B$18,MATCH(C373,'Quy dinh'!$A$14:$A$18,0)),"Mã lỗi không hợp lệ"))</f>
        <v/>
      </c>
      <c r="E373" s="7">
        <f>IF(C373="","",IFERROR(INDEX('Quy dinh'!$C$14:$C$18,MATCH(C373,'Quy dinh'!$A$14:$A$18,0)),0))</f>
        <v/>
      </c>
      <c r="F373" s="19" t="n"/>
      <c r="G373" s="19" t="n"/>
      <c r="H373" s="17">
        <f>IF(A373="","",TEXT(A373,"yyyy-mm"))</f>
        <v/>
      </c>
    </row>
    <row r="374">
      <c r="A374" s="22" t="n"/>
      <c r="B374" s="19" t="n"/>
      <c r="C374" s="19" t="n"/>
      <c r="D374" s="18">
        <f>IF(C374="","",IFERROR(INDEX('Quy dinh'!$B$14:$B$18,MATCH(C374,'Quy dinh'!$A$14:$A$18,0)),"Mã lỗi không hợp lệ"))</f>
        <v/>
      </c>
      <c r="E374" s="7">
        <f>IF(C374="","",IFERROR(INDEX('Quy dinh'!$C$14:$C$18,MATCH(C374,'Quy dinh'!$A$14:$A$18,0)),0))</f>
        <v/>
      </c>
      <c r="F374" s="19" t="n"/>
      <c r="G374" s="19" t="n"/>
      <c r="H374" s="17">
        <f>IF(A374="","",TEXT(A374,"yyyy-mm"))</f>
        <v/>
      </c>
    </row>
    <row r="375">
      <c r="A375" s="22" t="n"/>
      <c r="B375" s="19" t="n"/>
      <c r="C375" s="19" t="n"/>
      <c r="D375" s="18">
        <f>IF(C375="","",IFERROR(INDEX('Quy dinh'!$B$14:$B$18,MATCH(C375,'Quy dinh'!$A$14:$A$18,0)),"Mã lỗi không hợp lệ"))</f>
        <v/>
      </c>
      <c r="E375" s="7">
        <f>IF(C375="","",IFERROR(INDEX('Quy dinh'!$C$14:$C$18,MATCH(C375,'Quy dinh'!$A$14:$A$18,0)),0))</f>
        <v/>
      </c>
      <c r="F375" s="19" t="n"/>
      <c r="G375" s="19" t="n"/>
      <c r="H375" s="17">
        <f>IF(A375="","",TEXT(A375,"yyyy-mm"))</f>
        <v/>
      </c>
    </row>
    <row r="376">
      <c r="A376" s="22" t="n"/>
      <c r="B376" s="19" t="n"/>
      <c r="C376" s="19" t="n"/>
      <c r="D376" s="18">
        <f>IF(C376="","",IFERROR(INDEX('Quy dinh'!$B$14:$B$18,MATCH(C376,'Quy dinh'!$A$14:$A$18,0)),"Mã lỗi không hợp lệ"))</f>
        <v/>
      </c>
      <c r="E376" s="7">
        <f>IF(C376="","",IFERROR(INDEX('Quy dinh'!$C$14:$C$18,MATCH(C376,'Quy dinh'!$A$14:$A$18,0)),0))</f>
        <v/>
      </c>
      <c r="F376" s="19" t="n"/>
      <c r="G376" s="19" t="n"/>
      <c r="H376" s="17">
        <f>IF(A376="","",TEXT(A376,"yyyy-mm"))</f>
        <v/>
      </c>
    </row>
    <row r="377">
      <c r="A377" s="22" t="n"/>
      <c r="B377" s="19" t="n"/>
      <c r="C377" s="19" t="n"/>
      <c r="D377" s="18">
        <f>IF(C377="","",IFERROR(INDEX('Quy dinh'!$B$14:$B$18,MATCH(C377,'Quy dinh'!$A$14:$A$18,0)),"Mã lỗi không hợp lệ"))</f>
        <v/>
      </c>
      <c r="E377" s="7">
        <f>IF(C377="","",IFERROR(INDEX('Quy dinh'!$C$14:$C$18,MATCH(C377,'Quy dinh'!$A$14:$A$18,0)),0))</f>
        <v/>
      </c>
      <c r="F377" s="19" t="n"/>
      <c r="G377" s="19" t="n"/>
      <c r="H377" s="17">
        <f>IF(A377="","",TEXT(A377,"yyyy-mm"))</f>
        <v/>
      </c>
    </row>
    <row r="378">
      <c r="A378" s="22" t="n"/>
      <c r="B378" s="19" t="n"/>
      <c r="C378" s="19" t="n"/>
      <c r="D378" s="18">
        <f>IF(C378="","",IFERROR(INDEX('Quy dinh'!$B$14:$B$18,MATCH(C378,'Quy dinh'!$A$14:$A$18,0)),"Mã lỗi không hợp lệ"))</f>
        <v/>
      </c>
      <c r="E378" s="7">
        <f>IF(C378="","",IFERROR(INDEX('Quy dinh'!$C$14:$C$18,MATCH(C378,'Quy dinh'!$A$14:$A$18,0)),0))</f>
        <v/>
      </c>
      <c r="F378" s="19" t="n"/>
      <c r="G378" s="19" t="n"/>
      <c r="H378" s="17">
        <f>IF(A378="","",TEXT(A378,"yyyy-mm"))</f>
        <v/>
      </c>
    </row>
    <row r="379">
      <c r="A379" s="22" t="n"/>
      <c r="B379" s="19" t="n"/>
      <c r="C379" s="19" t="n"/>
      <c r="D379" s="18">
        <f>IF(C379="","",IFERROR(INDEX('Quy dinh'!$B$14:$B$18,MATCH(C379,'Quy dinh'!$A$14:$A$18,0)),"Mã lỗi không hợp lệ"))</f>
        <v/>
      </c>
      <c r="E379" s="7">
        <f>IF(C379="","",IFERROR(INDEX('Quy dinh'!$C$14:$C$18,MATCH(C379,'Quy dinh'!$A$14:$A$18,0)),0))</f>
        <v/>
      </c>
      <c r="F379" s="19" t="n"/>
      <c r="G379" s="19" t="n"/>
      <c r="H379" s="17">
        <f>IF(A379="","",TEXT(A379,"yyyy-mm"))</f>
        <v/>
      </c>
    </row>
    <row r="380">
      <c r="A380" s="22" t="n"/>
      <c r="B380" s="19" t="n"/>
      <c r="C380" s="19" t="n"/>
      <c r="D380" s="18">
        <f>IF(C380="","",IFERROR(INDEX('Quy dinh'!$B$14:$B$18,MATCH(C380,'Quy dinh'!$A$14:$A$18,0)),"Mã lỗi không hợp lệ"))</f>
        <v/>
      </c>
      <c r="E380" s="7">
        <f>IF(C380="","",IFERROR(INDEX('Quy dinh'!$C$14:$C$18,MATCH(C380,'Quy dinh'!$A$14:$A$18,0)),0))</f>
        <v/>
      </c>
      <c r="F380" s="19" t="n"/>
      <c r="G380" s="19" t="n"/>
      <c r="H380" s="17">
        <f>IF(A380="","",TEXT(A380,"yyyy-mm"))</f>
        <v/>
      </c>
    </row>
    <row r="381">
      <c r="A381" s="22" t="n"/>
      <c r="B381" s="19" t="n"/>
      <c r="C381" s="19" t="n"/>
      <c r="D381" s="18">
        <f>IF(C381="","",IFERROR(INDEX('Quy dinh'!$B$14:$B$18,MATCH(C381,'Quy dinh'!$A$14:$A$18,0)),"Mã lỗi không hợp lệ"))</f>
        <v/>
      </c>
      <c r="E381" s="7">
        <f>IF(C381="","",IFERROR(INDEX('Quy dinh'!$C$14:$C$18,MATCH(C381,'Quy dinh'!$A$14:$A$18,0)),0))</f>
        <v/>
      </c>
      <c r="F381" s="19" t="n"/>
      <c r="G381" s="19" t="n"/>
      <c r="H381" s="17">
        <f>IF(A381="","",TEXT(A381,"yyyy-mm"))</f>
        <v/>
      </c>
    </row>
    <row r="382">
      <c r="A382" s="22" t="n"/>
      <c r="B382" s="19" t="n"/>
      <c r="C382" s="19" t="n"/>
      <c r="D382" s="18">
        <f>IF(C382="","",IFERROR(INDEX('Quy dinh'!$B$14:$B$18,MATCH(C382,'Quy dinh'!$A$14:$A$18,0)),"Mã lỗi không hợp lệ"))</f>
        <v/>
      </c>
      <c r="E382" s="7">
        <f>IF(C382="","",IFERROR(INDEX('Quy dinh'!$C$14:$C$18,MATCH(C382,'Quy dinh'!$A$14:$A$18,0)),0))</f>
        <v/>
      </c>
      <c r="F382" s="19" t="n"/>
      <c r="G382" s="19" t="n"/>
      <c r="H382" s="17">
        <f>IF(A382="","",TEXT(A382,"yyyy-mm"))</f>
        <v/>
      </c>
    </row>
    <row r="383">
      <c r="A383" s="22" t="n"/>
      <c r="B383" s="19" t="n"/>
      <c r="C383" s="19" t="n"/>
      <c r="D383" s="18">
        <f>IF(C383="","",IFERROR(INDEX('Quy dinh'!$B$14:$B$18,MATCH(C383,'Quy dinh'!$A$14:$A$18,0)),"Mã lỗi không hợp lệ"))</f>
        <v/>
      </c>
      <c r="E383" s="7">
        <f>IF(C383="","",IFERROR(INDEX('Quy dinh'!$C$14:$C$18,MATCH(C383,'Quy dinh'!$A$14:$A$18,0)),0))</f>
        <v/>
      </c>
      <c r="F383" s="19" t="n"/>
      <c r="G383" s="19" t="n"/>
      <c r="H383" s="17">
        <f>IF(A383="","",TEXT(A383,"yyyy-mm"))</f>
        <v/>
      </c>
    </row>
    <row r="384">
      <c r="A384" s="22" t="n"/>
      <c r="B384" s="19" t="n"/>
      <c r="C384" s="19" t="n"/>
      <c r="D384" s="18">
        <f>IF(C384="","",IFERROR(INDEX('Quy dinh'!$B$14:$B$18,MATCH(C384,'Quy dinh'!$A$14:$A$18,0)),"Mã lỗi không hợp lệ"))</f>
        <v/>
      </c>
      <c r="E384" s="7">
        <f>IF(C384="","",IFERROR(INDEX('Quy dinh'!$C$14:$C$18,MATCH(C384,'Quy dinh'!$A$14:$A$18,0)),0))</f>
        <v/>
      </c>
      <c r="F384" s="19" t="n"/>
      <c r="G384" s="19" t="n"/>
      <c r="H384" s="17">
        <f>IF(A384="","",TEXT(A384,"yyyy-mm"))</f>
        <v/>
      </c>
    </row>
    <row r="385">
      <c r="A385" s="22" t="n"/>
      <c r="B385" s="19" t="n"/>
      <c r="C385" s="19" t="n"/>
      <c r="D385" s="18">
        <f>IF(C385="","",IFERROR(INDEX('Quy dinh'!$B$14:$B$18,MATCH(C385,'Quy dinh'!$A$14:$A$18,0)),"Mã lỗi không hợp lệ"))</f>
        <v/>
      </c>
      <c r="E385" s="7">
        <f>IF(C385="","",IFERROR(INDEX('Quy dinh'!$C$14:$C$18,MATCH(C385,'Quy dinh'!$A$14:$A$18,0)),0))</f>
        <v/>
      </c>
      <c r="F385" s="19" t="n"/>
      <c r="G385" s="19" t="n"/>
      <c r="H385" s="17">
        <f>IF(A385="","",TEXT(A385,"yyyy-mm"))</f>
        <v/>
      </c>
    </row>
    <row r="386">
      <c r="A386" s="22" t="n"/>
      <c r="B386" s="19" t="n"/>
      <c r="C386" s="19" t="n"/>
      <c r="D386" s="18">
        <f>IF(C386="","",IFERROR(INDEX('Quy dinh'!$B$14:$B$18,MATCH(C386,'Quy dinh'!$A$14:$A$18,0)),"Mã lỗi không hợp lệ"))</f>
        <v/>
      </c>
      <c r="E386" s="7">
        <f>IF(C386="","",IFERROR(INDEX('Quy dinh'!$C$14:$C$18,MATCH(C386,'Quy dinh'!$A$14:$A$18,0)),0))</f>
        <v/>
      </c>
      <c r="F386" s="19" t="n"/>
      <c r="G386" s="19" t="n"/>
      <c r="H386" s="17">
        <f>IF(A386="","",TEXT(A386,"yyyy-mm"))</f>
        <v/>
      </c>
    </row>
    <row r="387">
      <c r="A387" s="22" t="n"/>
      <c r="B387" s="19" t="n"/>
      <c r="C387" s="19" t="n"/>
      <c r="D387" s="18">
        <f>IF(C387="","",IFERROR(INDEX('Quy dinh'!$B$14:$B$18,MATCH(C387,'Quy dinh'!$A$14:$A$18,0)),"Mã lỗi không hợp lệ"))</f>
        <v/>
      </c>
      <c r="E387" s="7">
        <f>IF(C387="","",IFERROR(INDEX('Quy dinh'!$C$14:$C$18,MATCH(C387,'Quy dinh'!$A$14:$A$18,0)),0))</f>
        <v/>
      </c>
      <c r="F387" s="19" t="n"/>
      <c r="G387" s="19" t="n"/>
      <c r="H387" s="17">
        <f>IF(A387="","",TEXT(A387,"yyyy-mm"))</f>
        <v/>
      </c>
    </row>
    <row r="388">
      <c r="A388" s="22" t="n"/>
      <c r="B388" s="19" t="n"/>
      <c r="C388" s="19" t="n"/>
      <c r="D388" s="18">
        <f>IF(C388="","",IFERROR(INDEX('Quy dinh'!$B$14:$B$18,MATCH(C388,'Quy dinh'!$A$14:$A$18,0)),"Mã lỗi không hợp lệ"))</f>
        <v/>
      </c>
      <c r="E388" s="7">
        <f>IF(C388="","",IFERROR(INDEX('Quy dinh'!$C$14:$C$18,MATCH(C388,'Quy dinh'!$A$14:$A$18,0)),0))</f>
        <v/>
      </c>
      <c r="F388" s="19" t="n"/>
      <c r="G388" s="19" t="n"/>
      <c r="H388" s="17">
        <f>IF(A388="","",TEXT(A388,"yyyy-mm"))</f>
        <v/>
      </c>
    </row>
    <row r="389">
      <c r="A389" s="22" t="n"/>
      <c r="B389" s="19" t="n"/>
      <c r="C389" s="19" t="n"/>
      <c r="D389" s="18">
        <f>IF(C389="","",IFERROR(INDEX('Quy dinh'!$B$14:$B$18,MATCH(C389,'Quy dinh'!$A$14:$A$18,0)),"Mã lỗi không hợp lệ"))</f>
        <v/>
      </c>
      <c r="E389" s="7">
        <f>IF(C389="","",IFERROR(INDEX('Quy dinh'!$C$14:$C$18,MATCH(C389,'Quy dinh'!$A$14:$A$18,0)),0))</f>
        <v/>
      </c>
      <c r="F389" s="19" t="n"/>
      <c r="G389" s="19" t="n"/>
      <c r="H389" s="17">
        <f>IF(A389="","",TEXT(A389,"yyyy-mm"))</f>
        <v/>
      </c>
    </row>
    <row r="390">
      <c r="A390" s="22" t="n"/>
      <c r="B390" s="19" t="n"/>
      <c r="C390" s="19" t="n"/>
      <c r="D390" s="18">
        <f>IF(C390="","",IFERROR(INDEX('Quy dinh'!$B$14:$B$18,MATCH(C390,'Quy dinh'!$A$14:$A$18,0)),"Mã lỗi không hợp lệ"))</f>
        <v/>
      </c>
      <c r="E390" s="7">
        <f>IF(C390="","",IFERROR(INDEX('Quy dinh'!$C$14:$C$18,MATCH(C390,'Quy dinh'!$A$14:$A$18,0)),0))</f>
        <v/>
      </c>
      <c r="F390" s="19" t="n"/>
      <c r="G390" s="19" t="n"/>
      <c r="H390" s="17">
        <f>IF(A390="","",TEXT(A390,"yyyy-mm"))</f>
        <v/>
      </c>
    </row>
    <row r="391">
      <c r="A391" s="22" t="n"/>
      <c r="B391" s="19" t="n"/>
      <c r="C391" s="19" t="n"/>
      <c r="D391" s="18">
        <f>IF(C391="","",IFERROR(INDEX('Quy dinh'!$B$14:$B$18,MATCH(C391,'Quy dinh'!$A$14:$A$18,0)),"Mã lỗi không hợp lệ"))</f>
        <v/>
      </c>
      <c r="E391" s="7">
        <f>IF(C391="","",IFERROR(INDEX('Quy dinh'!$C$14:$C$18,MATCH(C391,'Quy dinh'!$A$14:$A$18,0)),0))</f>
        <v/>
      </c>
      <c r="F391" s="19" t="n"/>
      <c r="G391" s="19" t="n"/>
      <c r="H391" s="17">
        <f>IF(A391="","",TEXT(A391,"yyyy-mm"))</f>
        <v/>
      </c>
    </row>
    <row r="392">
      <c r="A392" s="22" t="n"/>
      <c r="B392" s="19" t="n"/>
      <c r="C392" s="19" t="n"/>
      <c r="D392" s="18">
        <f>IF(C392="","",IFERROR(INDEX('Quy dinh'!$B$14:$B$18,MATCH(C392,'Quy dinh'!$A$14:$A$18,0)),"Mã lỗi không hợp lệ"))</f>
        <v/>
      </c>
      <c r="E392" s="7">
        <f>IF(C392="","",IFERROR(INDEX('Quy dinh'!$C$14:$C$18,MATCH(C392,'Quy dinh'!$A$14:$A$18,0)),0))</f>
        <v/>
      </c>
      <c r="F392" s="19" t="n"/>
      <c r="G392" s="19" t="n"/>
      <c r="H392" s="17">
        <f>IF(A392="","",TEXT(A392,"yyyy-mm"))</f>
        <v/>
      </c>
    </row>
    <row r="393">
      <c r="A393" s="22" t="n"/>
      <c r="B393" s="19" t="n"/>
      <c r="C393" s="19" t="n"/>
      <c r="D393" s="18">
        <f>IF(C393="","",IFERROR(INDEX('Quy dinh'!$B$14:$B$18,MATCH(C393,'Quy dinh'!$A$14:$A$18,0)),"Mã lỗi không hợp lệ"))</f>
        <v/>
      </c>
      <c r="E393" s="7">
        <f>IF(C393="","",IFERROR(INDEX('Quy dinh'!$C$14:$C$18,MATCH(C393,'Quy dinh'!$A$14:$A$18,0)),0))</f>
        <v/>
      </c>
      <c r="F393" s="19" t="n"/>
      <c r="G393" s="19" t="n"/>
      <c r="H393" s="17">
        <f>IF(A393="","",TEXT(A393,"yyyy-mm"))</f>
        <v/>
      </c>
    </row>
    <row r="394">
      <c r="A394" s="22" t="n"/>
      <c r="B394" s="19" t="n"/>
      <c r="C394" s="19" t="n"/>
      <c r="D394" s="18">
        <f>IF(C394="","",IFERROR(INDEX('Quy dinh'!$B$14:$B$18,MATCH(C394,'Quy dinh'!$A$14:$A$18,0)),"Mã lỗi không hợp lệ"))</f>
        <v/>
      </c>
      <c r="E394" s="7">
        <f>IF(C394="","",IFERROR(INDEX('Quy dinh'!$C$14:$C$18,MATCH(C394,'Quy dinh'!$A$14:$A$18,0)),0))</f>
        <v/>
      </c>
      <c r="F394" s="19" t="n"/>
      <c r="G394" s="19" t="n"/>
      <c r="H394" s="17">
        <f>IF(A394="","",TEXT(A394,"yyyy-mm"))</f>
        <v/>
      </c>
    </row>
    <row r="395">
      <c r="A395" s="22" t="n"/>
      <c r="B395" s="19" t="n"/>
      <c r="C395" s="19" t="n"/>
      <c r="D395" s="18">
        <f>IF(C395="","",IFERROR(INDEX('Quy dinh'!$B$14:$B$18,MATCH(C395,'Quy dinh'!$A$14:$A$18,0)),"Mã lỗi không hợp lệ"))</f>
        <v/>
      </c>
      <c r="E395" s="7">
        <f>IF(C395="","",IFERROR(INDEX('Quy dinh'!$C$14:$C$18,MATCH(C395,'Quy dinh'!$A$14:$A$18,0)),0))</f>
        <v/>
      </c>
      <c r="F395" s="19" t="n"/>
      <c r="G395" s="19" t="n"/>
      <c r="H395" s="17">
        <f>IF(A395="","",TEXT(A395,"yyyy-mm"))</f>
        <v/>
      </c>
    </row>
    <row r="396">
      <c r="A396" s="22" t="n"/>
      <c r="B396" s="19" t="n"/>
      <c r="C396" s="19" t="n"/>
      <c r="D396" s="18">
        <f>IF(C396="","",IFERROR(INDEX('Quy dinh'!$B$14:$B$18,MATCH(C396,'Quy dinh'!$A$14:$A$18,0)),"Mã lỗi không hợp lệ"))</f>
        <v/>
      </c>
      <c r="E396" s="7">
        <f>IF(C396="","",IFERROR(INDEX('Quy dinh'!$C$14:$C$18,MATCH(C396,'Quy dinh'!$A$14:$A$18,0)),0))</f>
        <v/>
      </c>
      <c r="F396" s="19" t="n"/>
      <c r="G396" s="19" t="n"/>
      <c r="H396" s="17">
        <f>IF(A396="","",TEXT(A396,"yyyy-mm"))</f>
        <v/>
      </c>
    </row>
    <row r="397">
      <c r="A397" s="22" t="n"/>
      <c r="B397" s="19" t="n"/>
      <c r="C397" s="19" t="n"/>
      <c r="D397" s="18">
        <f>IF(C397="","",IFERROR(INDEX('Quy dinh'!$B$14:$B$18,MATCH(C397,'Quy dinh'!$A$14:$A$18,0)),"Mã lỗi không hợp lệ"))</f>
        <v/>
      </c>
      <c r="E397" s="7">
        <f>IF(C397="","",IFERROR(INDEX('Quy dinh'!$C$14:$C$18,MATCH(C397,'Quy dinh'!$A$14:$A$18,0)),0))</f>
        <v/>
      </c>
      <c r="F397" s="19" t="n"/>
      <c r="G397" s="19" t="n"/>
      <c r="H397" s="17">
        <f>IF(A397="","",TEXT(A397,"yyyy-mm"))</f>
        <v/>
      </c>
    </row>
    <row r="398">
      <c r="A398" s="22" t="n"/>
      <c r="B398" s="19" t="n"/>
      <c r="C398" s="19" t="n"/>
      <c r="D398" s="18">
        <f>IF(C398="","",IFERROR(INDEX('Quy dinh'!$B$14:$B$18,MATCH(C398,'Quy dinh'!$A$14:$A$18,0)),"Mã lỗi không hợp lệ"))</f>
        <v/>
      </c>
      <c r="E398" s="7">
        <f>IF(C398="","",IFERROR(INDEX('Quy dinh'!$C$14:$C$18,MATCH(C398,'Quy dinh'!$A$14:$A$18,0)),0))</f>
        <v/>
      </c>
      <c r="F398" s="19" t="n"/>
      <c r="G398" s="19" t="n"/>
      <c r="H398" s="17">
        <f>IF(A398="","",TEXT(A398,"yyyy-mm"))</f>
        <v/>
      </c>
    </row>
    <row r="399">
      <c r="A399" s="22" t="n"/>
      <c r="B399" s="19" t="n"/>
      <c r="C399" s="19" t="n"/>
      <c r="D399" s="18">
        <f>IF(C399="","",IFERROR(INDEX('Quy dinh'!$B$14:$B$18,MATCH(C399,'Quy dinh'!$A$14:$A$18,0)),"Mã lỗi không hợp lệ"))</f>
        <v/>
      </c>
      <c r="E399" s="7">
        <f>IF(C399="","",IFERROR(INDEX('Quy dinh'!$C$14:$C$18,MATCH(C399,'Quy dinh'!$A$14:$A$18,0)),0))</f>
        <v/>
      </c>
      <c r="F399" s="19" t="n"/>
      <c r="G399" s="19" t="n"/>
      <c r="H399" s="17">
        <f>IF(A399="","",TEXT(A399,"yyyy-mm"))</f>
        <v/>
      </c>
    </row>
    <row r="400">
      <c r="A400" s="22" t="n"/>
      <c r="B400" s="19" t="n"/>
      <c r="C400" s="19" t="n"/>
      <c r="D400" s="18">
        <f>IF(C400="","",IFERROR(INDEX('Quy dinh'!$B$14:$B$18,MATCH(C400,'Quy dinh'!$A$14:$A$18,0)),"Mã lỗi không hợp lệ"))</f>
        <v/>
      </c>
      <c r="E400" s="7">
        <f>IF(C400="","",IFERROR(INDEX('Quy dinh'!$C$14:$C$18,MATCH(C400,'Quy dinh'!$A$14:$A$18,0)),0))</f>
        <v/>
      </c>
      <c r="F400" s="19" t="n"/>
      <c r="G400" s="19" t="n"/>
      <c r="H400" s="17">
        <f>IF(A400="","",TEXT(A400,"yyyy-mm"))</f>
        <v/>
      </c>
    </row>
    <row r="401">
      <c r="A401" s="22" t="n"/>
      <c r="B401" s="19" t="n"/>
      <c r="C401" s="19" t="n"/>
      <c r="D401" s="18">
        <f>IF(C401="","",IFERROR(INDEX('Quy dinh'!$B$14:$B$18,MATCH(C401,'Quy dinh'!$A$14:$A$18,0)),"Mã lỗi không hợp lệ"))</f>
        <v/>
      </c>
      <c r="E401" s="7">
        <f>IF(C401="","",IFERROR(INDEX('Quy dinh'!$C$14:$C$18,MATCH(C401,'Quy dinh'!$A$14:$A$18,0)),0))</f>
        <v/>
      </c>
      <c r="F401" s="19" t="n"/>
      <c r="G401" s="19" t="n"/>
      <c r="H401" s="17">
        <f>IF(A401="","",TEXT(A401,"yyyy-mm"))</f>
        <v/>
      </c>
    </row>
    <row r="402">
      <c r="A402" s="22" t="n"/>
      <c r="B402" s="19" t="n"/>
      <c r="C402" s="19" t="n"/>
      <c r="D402" s="18">
        <f>IF(C402="","",IFERROR(INDEX('Quy dinh'!$B$14:$B$18,MATCH(C402,'Quy dinh'!$A$14:$A$18,0)),"Mã lỗi không hợp lệ"))</f>
        <v/>
      </c>
      <c r="E402" s="7">
        <f>IF(C402="","",IFERROR(INDEX('Quy dinh'!$C$14:$C$18,MATCH(C402,'Quy dinh'!$A$14:$A$18,0)),0))</f>
        <v/>
      </c>
      <c r="F402" s="19" t="n"/>
      <c r="G402" s="19" t="n"/>
      <c r="H402" s="17">
        <f>IF(A402="","",TEXT(A402,"yyyy-mm"))</f>
        <v/>
      </c>
    </row>
    <row r="403">
      <c r="A403" s="22" t="n"/>
      <c r="B403" s="19" t="n"/>
      <c r="C403" s="19" t="n"/>
      <c r="D403" s="18">
        <f>IF(C403="","",IFERROR(INDEX('Quy dinh'!$B$14:$B$18,MATCH(C403,'Quy dinh'!$A$14:$A$18,0)),"Mã lỗi không hợp lệ"))</f>
        <v/>
      </c>
      <c r="E403" s="7">
        <f>IF(C403="","",IFERROR(INDEX('Quy dinh'!$C$14:$C$18,MATCH(C403,'Quy dinh'!$A$14:$A$18,0)),0))</f>
        <v/>
      </c>
      <c r="F403" s="19" t="n"/>
      <c r="G403" s="19" t="n"/>
      <c r="H403" s="17">
        <f>IF(A403="","",TEXT(A403,"yyyy-mm"))</f>
        <v/>
      </c>
    </row>
    <row r="404">
      <c r="A404" s="22" t="n"/>
      <c r="B404" s="19" t="n"/>
      <c r="C404" s="19" t="n"/>
      <c r="D404" s="18">
        <f>IF(C404="","",IFERROR(INDEX('Quy dinh'!$B$14:$B$18,MATCH(C404,'Quy dinh'!$A$14:$A$18,0)),"Mã lỗi không hợp lệ"))</f>
        <v/>
      </c>
      <c r="E404" s="7">
        <f>IF(C404="","",IFERROR(INDEX('Quy dinh'!$C$14:$C$18,MATCH(C404,'Quy dinh'!$A$14:$A$18,0)),0))</f>
        <v/>
      </c>
      <c r="F404" s="19" t="n"/>
      <c r="G404" s="19" t="n"/>
      <c r="H404" s="17">
        <f>IF(A404="","",TEXT(A404,"yyyy-mm"))</f>
        <v/>
      </c>
    </row>
    <row r="405">
      <c r="A405" s="22" t="n"/>
      <c r="B405" s="19" t="n"/>
      <c r="C405" s="19" t="n"/>
      <c r="D405" s="18">
        <f>IF(C405="","",IFERROR(INDEX('Quy dinh'!$B$14:$B$18,MATCH(C405,'Quy dinh'!$A$14:$A$18,0)),"Mã lỗi không hợp lệ"))</f>
        <v/>
      </c>
      <c r="E405" s="7">
        <f>IF(C405="","",IFERROR(INDEX('Quy dinh'!$C$14:$C$18,MATCH(C405,'Quy dinh'!$A$14:$A$18,0)),0))</f>
        <v/>
      </c>
      <c r="F405" s="19" t="n"/>
      <c r="G405" s="19" t="n"/>
      <c r="H405" s="17">
        <f>IF(A405="","",TEXT(A405,"yyyy-mm"))</f>
        <v/>
      </c>
    </row>
    <row r="406">
      <c r="A406" s="22" t="n"/>
      <c r="B406" s="19" t="n"/>
      <c r="C406" s="19" t="n"/>
      <c r="D406" s="18">
        <f>IF(C406="","",IFERROR(INDEX('Quy dinh'!$B$14:$B$18,MATCH(C406,'Quy dinh'!$A$14:$A$18,0)),"Mã lỗi không hợp lệ"))</f>
        <v/>
      </c>
      <c r="E406" s="7">
        <f>IF(C406="","",IFERROR(INDEX('Quy dinh'!$C$14:$C$18,MATCH(C406,'Quy dinh'!$A$14:$A$18,0)),0))</f>
        <v/>
      </c>
      <c r="F406" s="19" t="n"/>
      <c r="G406" s="19" t="n"/>
      <c r="H406" s="17">
        <f>IF(A406="","",TEXT(A406,"yyyy-mm"))</f>
        <v/>
      </c>
    </row>
    <row r="407">
      <c r="A407" s="22" t="n"/>
      <c r="B407" s="19" t="n"/>
      <c r="C407" s="19" t="n"/>
      <c r="D407" s="18">
        <f>IF(C407="","",IFERROR(INDEX('Quy dinh'!$B$14:$B$18,MATCH(C407,'Quy dinh'!$A$14:$A$18,0)),"Mã lỗi không hợp lệ"))</f>
        <v/>
      </c>
      <c r="E407" s="7">
        <f>IF(C407="","",IFERROR(INDEX('Quy dinh'!$C$14:$C$18,MATCH(C407,'Quy dinh'!$A$14:$A$18,0)),0))</f>
        <v/>
      </c>
      <c r="F407" s="19" t="n"/>
      <c r="G407" s="19" t="n"/>
      <c r="H407" s="17">
        <f>IF(A407="","",TEXT(A407,"yyyy-mm"))</f>
        <v/>
      </c>
    </row>
    <row r="408">
      <c r="A408" s="22" t="n"/>
      <c r="B408" s="19" t="n"/>
      <c r="C408" s="19" t="n"/>
      <c r="D408" s="18">
        <f>IF(C408="","",IFERROR(INDEX('Quy dinh'!$B$14:$B$18,MATCH(C408,'Quy dinh'!$A$14:$A$18,0)),"Mã lỗi không hợp lệ"))</f>
        <v/>
      </c>
      <c r="E408" s="7">
        <f>IF(C408="","",IFERROR(INDEX('Quy dinh'!$C$14:$C$18,MATCH(C408,'Quy dinh'!$A$14:$A$18,0)),0))</f>
        <v/>
      </c>
      <c r="F408" s="19" t="n"/>
      <c r="G408" s="19" t="n"/>
      <c r="H408" s="17">
        <f>IF(A408="","",TEXT(A408,"yyyy-mm"))</f>
        <v/>
      </c>
    </row>
    <row r="409">
      <c r="A409" s="22" t="n"/>
      <c r="B409" s="19" t="n"/>
      <c r="C409" s="19" t="n"/>
      <c r="D409" s="18">
        <f>IF(C409="","",IFERROR(INDEX('Quy dinh'!$B$14:$B$18,MATCH(C409,'Quy dinh'!$A$14:$A$18,0)),"Mã lỗi không hợp lệ"))</f>
        <v/>
      </c>
      <c r="E409" s="7">
        <f>IF(C409="","",IFERROR(INDEX('Quy dinh'!$C$14:$C$18,MATCH(C409,'Quy dinh'!$A$14:$A$18,0)),0))</f>
        <v/>
      </c>
      <c r="F409" s="19" t="n"/>
      <c r="G409" s="19" t="n"/>
      <c r="H409" s="17">
        <f>IF(A409="","",TEXT(A409,"yyyy-mm"))</f>
        <v/>
      </c>
    </row>
    <row r="410">
      <c r="A410" s="22" t="n"/>
      <c r="B410" s="19" t="n"/>
      <c r="C410" s="19" t="n"/>
      <c r="D410" s="18">
        <f>IF(C410="","",IFERROR(INDEX('Quy dinh'!$B$14:$B$18,MATCH(C410,'Quy dinh'!$A$14:$A$18,0)),"Mã lỗi không hợp lệ"))</f>
        <v/>
      </c>
      <c r="E410" s="7">
        <f>IF(C410="","",IFERROR(INDEX('Quy dinh'!$C$14:$C$18,MATCH(C410,'Quy dinh'!$A$14:$A$18,0)),0))</f>
        <v/>
      </c>
      <c r="F410" s="19" t="n"/>
      <c r="G410" s="19" t="n"/>
      <c r="H410" s="17">
        <f>IF(A410="","",TEXT(A410,"yyyy-mm"))</f>
        <v/>
      </c>
    </row>
    <row r="411">
      <c r="A411" s="22" t="n"/>
      <c r="B411" s="19" t="n"/>
      <c r="C411" s="19" t="n"/>
      <c r="D411" s="18">
        <f>IF(C411="","",IFERROR(INDEX('Quy dinh'!$B$14:$B$18,MATCH(C411,'Quy dinh'!$A$14:$A$18,0)),"Mã lỗi không hợp lệ"))</f>
        <v/>
      </c>
      <c r="E411" s="7">
        <f>IF(C411="","",IFERROR(INDEX('Quy dinh'!$C$14:$C$18,MATCH(C411,'Quy dinh'!$A$14:$A$18,0)),0))</f>
        <v/>
      </c>
      <c r="F411" s="19" t="n"/>
      <c r="G411" s="19" t="n"/>
      <c r="H411" s="17">
        <f>IF(A411="","",TEXT(A411,"yyyy-mm"))</f>
        <v/>
      </c>
    </row>
    <row r="412">
      <c r="A412" s="22" t="n"/>
      <c r="B412" s="19" t="n"/>
      <c r="C412" s="19" t="n"/>
      <c r="D412" s="18">
        <f>IF(C412="","",IFERROR(INDEX('Quy dinh'!$B$14:$B$18,MATCH(C412,'Quy dinh'!$A$14:$A$18,0)),"Mã lỗi không hợp lệ"))</f>
        <v/>
      </c>
      <c r="E412" s="7">
        <f>IF(C412="","",IFERROR(INDEX('Quy dinh'!$C$14:$C$18,MATCH(C412,'Quy dinh'!$A$14:$A$18,0)),0))</f>
        <v/>
      </c>
      <c r="F412" s="19" t="n"/>
      <c r="G412" s="19" t="n"/>
      <c r="H412" s="17">
        <f>IF(A412="","",TEXT(A412,"yyyy-mm"))</f>
        <v/>
      </c>
    </row>
    <row r="413">
      <c r="A413" s="22" t="n"/>
      <c r="B413" s="19" t="n"/>
      <c r="C413" s="19" t="n"/>
      <c r="D413" s="18">
        <f>IF(C413="","",IFERROR(INDEX('Quy dinh'!$B$14:$B$18,MATCH(C413,'Quy dinh'!$A$14:$A$18,0)),"Mã lỗi không hợp lệ"))</f>
        <v/>
      </c>
      <c r="E413" s="7">
        <f>IF(C413="","",IFERROR(INDEX('Quy dinh'!$C$14:$C$18,MATCH(C413,'Quy dinh'!$A$14:$A$18,0)),0))</f>
        <v/>
      </c>
      <c r="F413" s="19" t="n"/>
      <c r="G413" s="19" t="n"/>
      <c r="H413" s="17">
        <f>IF(A413="","",TEXT(A413,"yyyy-mm"))</f>
        <v/>
      </c>
    </row>
    <row r="414">
      <c r="A414" s="22" t="n"/>
      <c r="B414" s="19" t="n"/>
      <c r="C414" s="19" t="n"/>
      <c r="D414" s="18">
        <f>IF(C414="","",IFERROR(INDEX('Quy dinh'!$B$14:$B$18,MATCH(C414,'Quy dinh'!$A$14:$A$18,0)),"Mã lỗi không hợp lệ"))</f>
        <v/>
      </c>
      <c r="E414" s="7">
        <f>IF(C414="","",IFERROR(INDEX('Quy dinh'!$C$14:$C$18,MATCH(C414,'Quy dinh'!$A$14:$A$18,0)),0))</f>
        <v/>
      </c>
      <c r="F414" s="19" t="n"/>
      <c r="G414" s="19" t="n"/>
      <c r="H414" s="17">
        <f>IF(A414="","",TEXT(A414,"yyyy-mm"))</f>
        <v/>
      </c>
    </row>
    <row r="415">
      <c r="A415" s="22" t="n"/>
      <c r="B415" s="19" t="n"/>
      <c r="C415" s="19" t="n"/>
      <c r="D415" s="18">
        <f>IF(C415="","",IFERROR(INDEX('Quy dinh'!$B$14:$B$18,MATCH(C415,'Quy dinh'!$A$14:$A$18,0)),"Mã lỗi không hợp lệ"))</f>
        <v/>
      </c>
      <c r="E415" s="7">
        <f>IF(C415="","",IFERROR(INDEX('Quy dinh'!$C$14:$C$18,MATCH(C415,'Quy dinh'!$A$14:$A$18,0)),0))</f>
        <v/>
      </c>
      <c r="F415" s="19" t="n"/>
      <c r="G415" s="19" t="n"/>
      <c r="H415" s="17">
        <f>IF(A415="","",TEXT(A415,"yyyy-mm"))</f>
        <v/>
      </c>
    </row>
    <row r="416">
      <c r="A416" s="22" t="n"/>
      <c r="B416" s="19" t="n"/>
      <c r="C416" s="19" t="n"/>
      <c r="D416" s="18">
        <f>IF(C416="","",IFERROR(INDEX('Quy dinh'!$B$14:$B$18,MATCH(C416,'Quy dinh'!$A$14:$A$18,0)),"Mã lỗi không hợp lệ"))</f>
        <v/>
      </c>
      <c r="E416" s="7">
        <f>IF(C416="","",IFERROR(INDEX('Quy dinh'!$C$14:$C$18,MATCH(C416,'Quy dinh'!$A$14:$A$18,0)),0))</f>
        <v/>
      </c>
      <c r="F416" s="19" t="n"/>
      <c r="G416" s="19" t="n"/>
      <c r="H416" s="17">
        <f>IF(A416="","",TEXT(A416,"yyyy-mm"))</f>
        <v/>
      </c>
    </row>
    <row r="417">
      <c r="A417" s="22" t="n"/>
      <c r="B417" s="19" t="n"/>
      <c r="C417" s="19" t="n"/>
      <c r="D417" s="18">
        <f>IF(C417="","",IFERROR(INDEX('Quy dinh'!$B$14:$B$18,MATCH(C417,'Quy dinh'!$A$14:$A$18,0)),"Mã lỗi không hợp lệ"))</f>
        <v/>
      </c>
      <c r="E417" s="7">
        <f>IF(C417="","",IFERROR(INDEX('Quy dinh'!$C$14:$C$18,MATCH(C417,'Quy dinh'!$A$14:$A$18,0)),0))</f>
        <v/>
      </c>
      <c r="F417" s="19" t="n"/>
      <c r="G417" s="19" t="n"/>
      <c r="H417" s="17">
        <f>IF(A417="","",TEXT(A417,"yyyy-mm"))</f>
        <v/>
      </c>
    </row>
    <row r="418">
      <c r="A418" s="22" t="n"/>
      <c r="B418" s="19" t="n"/>
      <c r="C418" s="19" t="n"/>
      <c r="D418" s="18">
        <f>IF(C418="","",IFERROR(INDEX('Quy dinh'!$B$14:$B$18,MATCH(C418,'Quy dinh'!$A$14:$A$18,0)),"Mã lỗi không hợp lệ"))</f>
        <v/>
      </c>
      <c r="E418" s="7">
        <f>IF(C418="","",IFERROR(INDEX('Quy dinh'!$C$14:$C$18,MATCH(C418,'Quy dinh'!$A$14:$A$18,0)),0))</f>
        <v/>
      </c>
      <c r="F418" s="19" t="n"/>
      <c r="G418" s="19" t="n"/>
      <c r="H418" s="17">
        <f>IF(A418="","",TEXT(A418,"yyyy-mm"))</f>
        <v/>
      </c>
    </row>
    <row r="419">
      <c r="A419" s="22" t="n"/>
      <c r="B419" s="19" t="n"/>
      <c r="C419" s="19" t="n"/>
      <c r="D419" s="18">
        <f>IF(C419="","",IFERROR(INDEX('Quy dinh'!$B$14:$B$18,MATCH(C419,'Quy dinh'!$A$14:$A$18,0)),"Mã lỗi không hợp lệ"))</f>
        <v/>
      </c>
      <c r="E419" s="7">
        <f>IF(C419="","",IFERROR(INDEX('Quy dinh'!$C$14:$C$18,MATCH(C419,'Quy dinh'!$A$14:$A$18,0)),0))</f>
        <v/>
      </c>
      <c r="F419" s="19" t="n"/>
      <c r="G419" s="19" t="n"/>
      <c r="H419" s="17">
        <f>IF(A419="","",TEXT(A419,"yyyy-mm"))</f>
        <v/>
      </c>
    </row>
    <row r="420">
      <c r="A420" s="22" t="n"/>
      <c r="B420" s="19" t="n"/>
      <c r="C420" s="19" t="n"/>
      <c r="D420" s="18">
        <f>IF(C420="","",IFERROR(INDEX('Quy dinh'!$B$14:$B$18,MATCH(C420,'Quy dinh'!$A$14:$A$18,0)),"Mã lỗi không hợp lệ"))</f>
        <v/>
      </c>
      <c r="E420" s="7">
        <f>IF(C420="","",IFERROR(INDEX('Quy dinh'!$C$14:$C$18,MATCH(C420,'Quy dinh'!$A$14:$A$18,0)),0))</f>
        <v/>
      </c>
      <c r="F420" s="19" t="n"/>
      <c r="G420" s="19" t="n"/>
      <c r="H420" s="17">
        <f>IF(A420="","",TEXT(A420,"yyyy-mm"))</f>
        <v/>
      </c>
    </row>
    <row r="421">
      <c r="A421" s="22" t="n"/>
      <c r="B421" s="19" t="n"/>
      <c r="C421" s="19" t="n"/>
      <c r="D421" s="18">
        <f>IF(C421="","",IFERROR(INDEX('Quy dinh'!$B$14:$B$18,MATCH(C421,'Quy dinh'!$A$14:$A$18,0)),"Mã lỗi không hợp lệ"))</f>
        <v/>
      </c>
      <c r="E421" s="7">
        <f>IF(C421="","",IFERROR(INDEX('Quy dinh'!$C$14:$C$18,MATCH(C421,'Quy dinh'!$A$14:$A$18,0)),0))</f>
        <v/>
      </c>
      <c r="F421" s="19" t="n"/>
      <c r="G421" s="19" t="n"/>
      <c r="H421" s="17">
        <f>IF(A421="","",TEXT(A421,"yyyy-mm"))</f>
        <v/>
      </c>
    </row>
    <row r="422">
      <c r="A422" s="22" t="n"/>
      <c r="B422" s="19" t="n"/>
      <c r="C422" s="19" t="n"/>
      <c r="D422" s="18">
        <f>IF(C422="","",IFERROR(INDEX('Quy dinh'!$B$14:$B$18,MATCH(C422,'Quy dinh'!$A$14:$A$18,0)),"Mã lỗi không hợp lệ"))</f>
        <v/>
      </c>
      <c r="E422" s="7">
        <f>IF(C422="","",IFERROR(INDEX('Quy dinh'!$C$14:$C$18,MATCH(C422,'Quy dinh'!$A$14:$A$18,0)),0))</f>
        <v/>
      </c>
      <c r="F422" s="19" t="n"/>
      <c r="G422" s="19" t="n"/>
      <c r="H422" s="17">
        <f>IF(A422="","",TEXT(A422,"yyyy-mm"))</f>
        <v/>
      </c>
    </row>
    <row r="423">
      <c r="A423" s="22" t="n"/>
      <c r="B423" s="19" t="n"/>
      <c r="C423" s="19" t="n"/>
      <c r="D423" s="18">
        <f>IF(C423="","",IFERROR(INDEX('Quy dinh'!$B$14:$B$18,MATCH(C423,'Quy dinh'!$A$14:$A$18,0)),"Mã lỗi không hợp lệ"))</f>
        <v/>
      </c>
      <c r="E423" s="7">
        <f>IF(C423="","",IFERROR(INDEX('Quy dinh'!$C$14:$C$18,MATCH(C423,'Quy dinh'!$A$14:$A$18,0)),0))</f>
        <v/>
      </c>
      <c r="F423" s="19" t="n"/>
      <c r="G423" s="19" t="n"/>
      <c r="H423" s="17">
        <f>IF(A423="","",TEXT(A423,"yyyy-mm"))</f>
        <v/>
      </c>
    </row>
    <row r="424">
      <c r="A424" s="22" t="n"/>
      <c r="B424" s="19" t="n"/>
      <c r="C424" s="19" t="n"/>
      <c r="D424" s="18">
        <f>IF(C424="","",IFERROR(INDEX('Quy dinh'!$B$14:$B$18,MATCH(C424,'Quy dinh'!$A$14:$A$18,0)),"Mã lỗi không hợp lệ"))</f>
        <v/>
      </c>
      <c r="E424" s="7">
        <f>IF(C424="","",IFERROR(INDEX('Quy dinh'!$C$14:$C$18,MATCH(C424,'Quy dinh'!$A$14:$A$18,0)),0))</f>
        <v/>
      </c>
      <c r="F424" s="19" t="n"/>
      <c r="G424" s="19" t="n"/>
      <c r="H424" s="17">
        <f>IF(A424="","",TEXT(A424,"yyyy-mm"))</f>
        <v/>
      </c>
    </row>
    <row r="425">
      <c r="A425" s="22" t="n"/>
      <c r="B425" s="19" t="n"/>
      <c r="C425" s="19" t="n"/>
      <c r="D425" s="18">
        <f>IF(C425="","",IFERROR(INDEX('Quy dinh'!$B$14:$B$18,MATCH(C425,'Quy dinh'!$A$14:$A$18,0)),"Mã lỗi không hợp lệ"))</f>
        <v/>
      </c>
      <c r="E425" s="7">
        <f>IF(C425="","",IFERROR(INDEX('Quy dinh'!$C$14:$C$18,MATCH(C425,'Quy dinh'!$A$14:$A$18,0)),0))</f>
        <v/>
      </c>
      <c r="F425" s="19" t="n"/>
      <c r="G425" s="19" t="n"/>
      <c r="H425" s="17">
        <f>IF(A425="","",TEXT(A425,"yyyy-mm"))</f>
        <v/>
      </c>
    </row>
    <row r="426">
      <c r="A426" s="22" t="n"/>
      <c r="B426" s="19" t="n"/>
      <c r="C426" s="19" t="n"/>
      <c r="D426" s="18">
        <f>IF(C426="","",IFERROR(INDEX('Quy dinh'!$B$14:$B$18,MATCH(C426,'Quy dinh'!$A$14:$A$18,0)),"Mã lỗi không hợp lệ"))</f>
        <v/>
      </c>
      <c r="E426" s="7">
        <f>IF(C426="","",IFERROR(INDEX('Quy dinh'!$C$14:$C$18,MATCH(C426,'Quy dinh'!$A$14:$A$18,0)),0))</f>
        <v/>
      </c>
      <c r="F426" s="19" t="n"/>
      <c r="G426" s="19" t="n"/>
      <c r="H426" s="17">
        <f>IF(A426="","",TEXT(A426,"yyyy-mm"))</f>
        <v/>
      </c>
    </row>
    <row r="427">
      <c r="A427" s="22" t="n"/>
      <c r="B427" s="19" t="n"/>
      <c r="C427" s="19" t="n"/>
      <c r="D427" s="18">
        <f>IF(C427="","",IFERROR(INDEX('Quy dinh'!$B$14:$B$18,MATCH(C427,'Quy dinh'!$A$14:$A$18,0)),"Mã lỗi không hợp lệ"))</f>
        <v/>
      </c>
      <c r="E427" s="7">
        <f>IF(C427="","",IFERROR(INDEX('Quy dinh'!$C$14:$C$18,MATCH(C427,'Quy dinh'!$A$14:$A$18,0)),0))</f>
        <v/>
      </c>
      <c r="F427" s="19" t="n"/>
      <c r="G427" s="19" t="n"/>
      <c r="H427" s="17">
        <f>IF(A427="","",TEXT(A427,"yyyy-mm"))</f>
        <v/>
      </c>
    </row>
    <row r="428">
      <c r="A428" s="22" t="n"/>
      <c r="B428" s="19" t="n"/>
      <c r="C428" s="19" t="n"/>
      <c r="D428" s="18">
        <f>IF(C428="","",IFERROR(INDEX('Quy dinh'!$B$14:$B$18,MATCH(C428,'Quy dinh'!$A$14:$A$18,0)),"Mã lỗi không hợp lệ"))</f>
        <v/>
      </c>
      <c r="E428" s="7">
        <f>IF(C428="","",IFERROR(INDEX('Quy dinh'!$C$14:$C$18,MATCH(C428,'Quy dinh'!$A$14:$A$18,0)),0))</f>
        <v/>
      </c>
      <c r="F428" s="19" t="n"/>
      <c r="G428" s="19" t="n"/>
      <c r="H428" s="17">
        <f>IF(A428="","",TEXT(A428,"yyyy-mm"))</f>
        <v/>
      </c>
    </row>
    <row r="429">
      <c r="A429" s="22" t="n"/>
      <c r="B429" s="19" t="n"/>
      <c r="C429" s="19" t="n"/>
      <c r="D429" s="18">
        <f>IF(C429="","",IFERROR(INDEX('Quy dinh'!$B$14:$B$18,MATCH(C429,'Quy dinh'!$A$14:$A$18,0)),"Mã lỗi không hợp lệ"))</f>
        <v/>
      </c>
      <c r="E429" s="7">
        <f>IF(C429="","",IFERROR(INDEX('Quy dinh'!$C$14:$C$18,MATCH(C429,'Quy dinh'!$A$14:$A$18,0)),0))</f>
        <v/>
      </c>
      <c r="F429" s="19" t="n"/>
      <c r="G429" s="19" t="n"/>
      <c r="H429" s="17">
        <f>IF(A429="","",TEXT(A429,"yyyy-mm"))</f>
        <v/>
      </c>
    </row>
    <row r="430">
      <c r="A430" s="22" t="n"/>
      <c r="B430" s="19" t="n"/>
      <c r="C430" s="19" t="n"/>
      <c r="D430" s="18">
        <f>IF(C430="","",IFERROR(INDEX('Quy dinh'!$B$14:$B$18,MATCH(C430,'Quy dinh'!$A$14:$A$18,0)),"Mã lỗi không hợp lệ"))</f>
        <v/>
      </c>
      <c r="E430" s="7">
        <f>IF(C430="","",IFERROR(INDEX('Quy dinh'!$C$14:$C$18,MATCH(C430,'Quy dinh'!$A$14:$A$18,0)),0))</f>
        <v/>
      </c>
      <c r="F430" s="19" t="n"/>
      <c r="G430" s="19" t="n"/>
      <c r="H430" s="17">
        <f>IF(A430="","",TEXT(A430,"yyyy-mm"))</f>
        <v/>
      </c>
    </row>
    <row r="431">
      <c r="A431" s="22" t="n"/>
      <c r="B431" s="19" t="n"/>
      <c r="C431" s="19" t="n"/>
      <c r="D431" s="18">
        <f>IF(C431="","",IFERROR(INDEX('Quy dinh'!$B$14:$B$18,MATCH(C431,'Quy dinh'!$A$14:$A$18,0)),"Mã lỗi không hợp lệ"))</f>
        <v/>
      </c>
      <c r="E431" s="7">
        <f>IF(C431="","",IFERROR(INDEX('Quy dinh'!$C$14:$C$18,MATCH(C431,'Quy dinh'!$A$14:$A$18,0)),0))</f>
        <v/>
      </c>
      <c r="F431" s="19" t="n"/>
      <c r="G431" s="19" t="n"/>
      <c r="H431" s="17">
        <f>IF(A431="","",TEXT(A431,"yyyy-mm"))</f>
        <v/>
      </c>
    </row>
    <row r="432">
      <c r="A432" s="22" t="n"/>
      <c r="B432" s="19" t="n"/>
      <c r="C432" s="19" t="n"/>
      <c r="D432" s="18">
        <f>IF(C432="","",IFERROR(INDEX('Quy dinh'!$B$14:$B$18,MATCH(C432,'Quy dinh'!$A$14:$A$18,0)),"Mã lỗi không hợp lệ"))</f>
        <v/>
      </c>
      <c r="E432" s="7">
        <f>IF(C432="","",IFERROR(INDEX('Quy dinh'!$C$14:$C$18,MATCH(C432,'Quy dinh'!$A$14:$A$18,0)),0))</f>
        <v/>
      </c>
      <c r="F432" s="19" t="n"/>
      <c r="G432" s="19" t="n"/>
      <c r="H432" s="17">
        <f>IF(A432="","",TEXT(A432,"yyyy-mm"))</f>
        <v/>
      </c>
    </row>
    <row r="433">
      <c r="A433" s="22" t="n"/>
      <c r="B433" s="19" t="n"/>
      <c r="C433" s="19" t="n"/>
      <c r="D433" s="18">
        <f>IF(C433="","",IFERROR(INDEX('Quy dinh'!$B$14:$B$18,MATCH(C433,'Quy dinh'!$A$14:$A$18,0)),"Mã lỗi không hợp lệ"))</f>
        <v/>
      </c>
      <c r="E433" s="7">
        <f>IF(C433="","",IFERROR(INDEX('Quy dinh'!$C$14:$C$18,MATCH(C433,'Quy dinh'!$A$14:$A$18,0)),0))</f>
        <v/>
      </c>
      <c r="F433" s="19" t="n"/>
      <c r="G433" s="19" t="n"/>
      <c r="H433" s="17">
        <f>IF(A433="","",TEXT(A433,"yyyy-mm"))</f>
        <v/>
      </c>
    </row>
    <row r="434">
      <c r="A434" s="22" t="n"/>
      <c r="B434" s="19" t="n"/>
      <c r="C434" s="19" t="n"/>
      <c r="D434" s="18">
        <f>IF(C434="","",IFERROR(INDEX('Quy dinh'!$B$14:$B$18,MATCH(C434,'Quy dinh'!$A$14:$A$18,0)),"Mã lỗi không hợp lệ"))</f>
        <v/>
      </c>
      <c r="E434" s="7">
        <f>IF(C434="","",IFERROR(INDEX('Quy dinh'!$C$14:$C$18,MATCH(C434,'Quy dinh'!$A$14:$A$18,0)),0))</f>
        <v/>
      </c>
      <c r="F434" s="19" t="n"/>
      <c r="G434" s="19" t="n"/>
      <c r="H434" s="17">
        <f>IF(A434="","",TEXT(A434,"yyyy-mm"))</f>
        <v/>
      </c>
    </row>
    <row r="435">
      <c r="A435" s="22" t="n"/>
      <c r="B435" s="19" t="n"/>
      <c r="C435" s="19" t="n"/>
      <c r="D435" s="18">
        <f>IF(C435="","",IFERROR(INDEX('Quy dinh'!$B$14:$B$18,MATCH(C435,'Quy dinh'!$A$14:$A$18,0)),"Mã lỗi không hợp lệ"))</f>
        <v/>
      </c>
      <c r="E435" s="7">
        <f>IF(C435="","",IFERROR(INDEX('Quy dinh'!$C$14:$C$18,MATCH(C435,'Quy dinh'!$A$14:$A$18,0)),0))</f>
        <v/>
      </c>
      <c r="F435" s="19" t="n"/>
      <c r="G435" s="19" t="n"/>
      <c r="H435" s="17">
        <f>IF(A435="","",TEXT(A435,"yyyy-mm"))</f>
        <v/>
      </c>
    </row>
    <row r="436">
      <c r="A436" s="22" t="n"/>
      <c r="B436" s="19" t="n"/>
      <c r="C436" s="19" t="n"/>
      <c r="D436" s="18">
        <f>IF(C436="","",IFERROR(INDEX('Quy dinh'!$B$14:$B$18,MATCH(C436,'Quy dinh'!$A$14:$A$18,0)),"Mã lỗi không hợp lệ"))</f>
        <v/>
      </c>
      <c r="E436" s="7">
        <f>IF(C436="","",IFERROR(INDEX('Quy dinh'!$C$14:$C$18,MATCH(C436,'Quy dinh'!$A$14:$A$18,0)),0))</f>
        <v/>
      </c>
      <c r="F436" s="19" t="n"/>
      <c r="G436" s="19" t="n"/>
      <c r="H436" s="17">
        <f>IF(A436="","",TEXT(A436,"yyyy-mm"))</f>
        <v/>
      </c>
    </row>
    <row r="437">
      <c r="A437" s="22" t="n"/>
      <c r="B437" s="19" t="n"/>
      <c r="C437" s="19" t="n"/>
      <c r="D437" s="18">
        <f>IF(C437="","",IFERROR(INDEX('Quy dinh'!$B$14:$B$18,MATCH(C437,'Quy dinh'!$A$14:$A$18,0)),"Mã lỗi không hợp lệ"))</f>
        <v/>
      </c>
      <c r="E437" s="7">
        <f>IF(C437="","",IFERROR(INDEX('Quy dinh'!$C$14:$C$18,MATCH(C437,'Quy dinh'!$A$14:$A$18,0)),0))</f>
        <v/>
      </c>
      <c r="F437" s="19" t="n"/>
      <c r="G437" s="19" t="n"/>
      <c r="H437" s="17">
        <f>IF(A437="","",TEXT(A437,"yyyy-mm"))</f>
        <v/>
      </c>
    </row>
    <row r="438">
      <c r="A438" s="22" t="n"/>
      <c r="B438" s="19" t="n"/>
      <c r="C438" s="19" t="n"/>
      <c r="D438" s="18">
        <f>IF(C438="","",IFERROR(INDEX('Quy dinh'!$B$14:$B$18,MATCH(C438,'Quy dinh'!$A$14:$A$18,0)),"Mã lỗi không hợp lệ"))</f>
        <v/>
      </c>
      <c r="E438" s="7">
        <f>IF(C438="","",IFERROR(INDEX('Quy dinh'!$C$14:$C$18,MATCH(C438,'Quy dinh'!$A$14:$A$18,0)),0))</f>
        <v/>
      </c>
      <c r="F438" s="19" t="n"/>
      <c r="G438" s="19" t="n"/>
      <c r="H438" s="17">
        <f>IF(A438="","",TEXT(A438,"yyyy-mm"))</f>
        <v/>
      </c>
    </row>
    <row r="439">
      <c r="A439" s="22" t="n"/>
      <c r="B439" s="19" t="n"/>
      <c r="C439" s="19" t="n"/>
      <c r="D439" s="18">
        <f>IF(C439="","",IFERROR(INDEX('Quy dinh'!$B$14:$B$18,MATCH(C439,'Quy dinh'!$A$14:$A$18,0)),"Mã lỗi không hợp lệ"))</f>
        <v/>
      </c>
      <c r="E439" s="7">
        <f>IF(C439="","",IFERROR(INDEX('Quy dinh'!$C$14:$C$18,MATCH(C439,'Quy dinh'!$A$14:$A$18,0)),0))</f>
        <v/>
      </c>
      <c r="F439" s="19" t="n"/>
      <c r="G439" s="19" t="n"/>
      <c r="H439" s="17">
        <f>IF(A439="","",TEXT(A439,"yyyy-mm"))</f>
        <v/>
      </c>
    </row>
    <row r="440">
      <c r="A440" s="22" t="n"/>
      <c r="B440" s="19" t="n"/>
      <c r="C440" s="19" t="n"/>
      <c r="D440" s="18">
        <f>IF(C440="","",IFERROR(INDEX('Quy dinh'!$B$14:$B$18,MATCH(C440,'Quy dinh'!$A$14:$A$18,0)),"Mã lỗi không hợp lệ"))</f>
        <v/>
      </c>
      <c r="E440" s="7">
        <f>IF(C440="","",IFERROR(INDEX('Quy dinh'!$C$14:$C$18,MATCH(C440,'Quy dinh'!$A$14:$A$18,0)),0))</f>
        <v/>
      </c>
      <c r="F440" s="19" t="n"/>
      <c r="G440" s="19" t="n"/>
      <c r="H440" s="17">
        <f>IF(A440="","",TEXT(A440,"yyyy-mm"))</f>
        <v/>
      </c>
    </row>
    <row r="441">
      <c r="A441" s="22" t="n"/>
      <c r="B441" s="19" t="n"/>
      <c r="C441" s="19" t="n"/>
      <c r="D441" s="18">
        <f>IF(C441="","",IFERROR(INDEX('Quy dinh'!$B$14:$B$18,MATCH(C441,'Quy dinh'!$A$14:$A$18,0)),"Mã lỗi không hợp lệ"))</f>
        <v/>
      </c>
      <c r="E441" s="7">
        <f>IF(C441="","",IFERROR(INDEX('Quy dinh'!$C$14:$C$18,MATCH(C441,'Quy dinh'!$A$14:$A$18,0)),0))</f>
        <v/>
      </c>
      <c r="F441" s="19" t="n"/>
      <c r="G441" s="19" t="n"/>
      <c r="H441" s="17">
        <f>IF(A441="","",TEXT(A441,"yyyy-mm"))</f>
        <v/>
      </c>
    </row>
    <row r="442">
      <c r="A442" s="22" t="n"/>
      <c r="B442" s="19" t="n"/>
      <c r="C442" s="19" t="n"/>
      <c r="D442" s="18">
        <f>IF(C442="","",IFERROR(INDEX('Quy dinh'!$B$14:$B$18,MATCH(C442,'Quy dinh'!$A$14:$A$18,0)),"Mã lỗi không hợp lệ"))</f>
        <v/>
      </c>
      <c r="E442" s="7">
        <f>IF(C442="","",IFERROR(INDEX('Quy dinh'!$C$14:$C$18,MATCH(C442,'Quy dinh'!$A$14:$A$18,0)),0))</f>
        <v/>
      </c>
      <c r="F442" s="19" t="n"/>
      <c r="G442" s="19" t="n"/>
      <c r="H442" s="17">
        <f>IF(A442="","",TEXT(A442,"yyyy-mm"))</f>
        <v/>
      </c>
    </row>
    <row r="443">
      <c r="A443" s="22" t="n"/>
      <c r="B443" s="19" t="n"/>
      <c r="C443" s="19" t="n"/>
      <c r="D443" s="18">
        <f>IF(C443="","",IFERROR(INDEX('Quy dinh'!$B$14:$B$18,MATCH(C443,'Quy dinh'!$A$14:$A$18,0)),"Mã lỗi không hợp lệ"))</f>
        <v/>
      </c>
      <c r="E443" s="7">
        <f>IF(C443="","",IFERROR(INDEX('Quy dinh'!$C$14:$C$18,MATCH(C443,'Quy dinh'!$A$14:$A$18,0)),0))</f>
        <v/>
      </c>
      <c r="F443" s="19" t="n"/>
      <c r="G443" s="19" t="n"/>
      <c r="H443" s="17">
        <f>IF(A443="","",TEXT(A443,"yyyy-mm"))</f>
        <v/>
      </c>
    </row>
    <row r="444">
      <c r="A444" s="22" t="n"/>
      <c r="B444" s="19" t="n"/>
      <c r="C444" s="19" t="n"/>
      <c r="D444" s="18">
        <f>IF(C444="","",IFERROR(INDEX('Quy dinh'!$B$14:$B$18,MATCH(C444,'Quy dinh'!$A$14:$A$18,0)),"Mã lỗi không hợp lệ"))</f>
        <v/>
      </c>
      <c r="E444" s="7">
        <f>IF(C444="","",IFERROR(INDEX('Quy dinh'!$C$14:$C$18,MATCH(C444,'Quy dinh'!$A$14:$A$18,0)),0))</f>
        <v/>
      </c>
      <c r="F444" s="19" t="n"/>
      <c r="G444" s="19" t="n"/>
      <c r="H444" s="17">
        <f>IF(A444="","",TEXT(A444,"yyyy-mm"))</f>
        <v/>
      </c>
    </row>
    <row r="445">
      <c r="A445" s="22" t="n"/>
      <c r="B445" s="19" t="n"/>
      <c r="C445" s="19" t="n"/>
      <c r="D445" s="18">
        <f>IF(C445="","",IFERROR(INDEX('Quy dinh'!$B$14:$B$18,MATCH(C445,'Quy dinh'!$A$14:$A$18,0)),"Mã lỗi không hợp lệ"))</f>
        <v/>
      </c>
      <c r="E445" s="7">
        <f>IF(C445="","",IFERROR(INDEX('Quy dinh'!$C$14:$C$18,MATCH(C445,'Quy dinh'!$A$14:$A$18,0)),0))</f>
        <v/>
      </c>
      <c r="F445" s="19" t="n"/>
      <c r="G445" s="19" t="n"/>
      <c r="H445" s="17">
        <f>IF(A445="","",TEXT(A445,"yyyy-mm"))</f>
        <v/>
      </c>
    </row>
    <row r="446">
      <c r="A446" s="22" t="n"/>
      <c r="B446" s="19" t="n"/>
      <c r="C446" s="19" t="n"/>
      <c r="D446" s="18">
        <f>IF(C446="","",IFERROR(INDEX('Quy dinh'!$B$14:$B$18,MATCH(C446,'Quy dinh'!$A$14:$A$18,0)),"Mã lỗi không hợp lệ"))</f>
        <v/>
      </c>
      <c r="E446" s="7">
        <f>IF(C446="","",IFERROR(INDEX('Quy dinh'!$C$14:$C$18,MATCH(C446,'Quy dinh'!$A$14:$A$18,0)),0))</f>
        <v/>
      </c>
      <c r="F446" s="19" t="n"/>
      <c r="G446" s="19" t="n"/>
      <c r="H446" s="17">
        <f>IF(A446="","",TEXT(A446,"yyyy-mm"))</f>
        <v/>
      </c>
    </row>
    <row r="447">
      <c r="A447" s="22" t="n"/>
      <c r="B447" s="19" t="n"/>
      <c r="C447" s="19" t="n"/>
      <c r="D447" s="18">
        <f>IF(C447="","",IFERROR(INDEX('Quy dinh'!$B$14:$B$18,MATCH(C447,'Quy dinh'!$A$14:$A$18,0)),"Mã lỗi không hợp lệ"))</f>
        <v/>
      </c>
      <c r="E447" s="7">
        <f>IF(C447="","",IFERROR(INDEX('Quy dinh'!$C$14:$C$18,MATCH(C447,'Quy dinh'!$A$14:$A$18,0)),0))</f>
        <v/>
      </c>
      <c r="F447" s="19" t="n"/>
      <c r="G447" s="19" t="n"/>
      <c r="H447" s="17">
        <f>IF(A447="","",TEXT(A447,"yyyy-mm"))</f>
        <v/>
      </c>
    </row>
    <row r="448">
      <c r="A448" s="22" t="n"/>
      <c r="B448" s="19" t="n"/>
      <c r="C448" s="19" t="n"/>
      <c r="D448" s="18">
        <f>IF(C448="","",IFERROR(INDEX('Quy dinh'!$B$14:$B$18,MATCH(C448,'Quy dinh'!$A$14:$A$18,0)),"Mã lỗi không hợp lệ"))</f>
        <v/>
      </c>
      <c r="E448" s="7">
        <f>IF(C448="","",IFERROR(INDEX('Quy dinh'!$C$14:$C$18,MATCH(C448,'Quy dinh'!$A$14:$A$18,0)),0))</f>
        <v/>
      </c>
      <c r="F448" s="19" t="n"/>
      <c r="G448" s="19" t="n"/>
      <c r="H448" s="17">
        <f>IF(A448="","",TEXT(A448,"yyyy-mm"))</f>
        <v/>
      </c>
    </row>
    <row r="449">
      <c r="A449" s="22" t="n"/>
      <c r="B449" s="19" t="n"/>
      <c r="C449" s="19" t="n"/>
      <c r="D449" s="18">
        <f>IF(C449="","",IFERROR(INDEX('Quy dinh'!$B$14:$B$18,MATCH(C449,'Quy dinh'!$A$14:$A$18,0)),"Mã lỗi không hợp lệ"))</f>
        <v/>
      </c>
      <c r="E449" s="7">
        <f>IF(C449="","",IFERROR(INDEX('Quy dinh'!$C$14:$C$18,MATCH(C449,'Quy dinh'!$A$14:$A$18,0)),0))</f>
        <v/>
      </c>
      <c r="F449" s="19" t="n"/>
      <c r="G449" s="19" t="n"/>
      <c r="H449" s="17">
        <f>IF(A449="","",TEXT(A449,"yyyy-mm"))</f>
        <v/>
      </c>
    </row>
    <row r="450">
      <c r="A450" s="22" t="n"/>
      <c r="B450" s="19" t="n"/>
      <c r="C450" s="19" t="n"/>
      <c r="D450" s="18">
        <f>IF(C450="","",IFERROR(INDEX('Quy dinh'!$B$14:$B$18,MATCH(C450,'Quy dinh'!$A$14:$A$18,0)),"Mã lỗi không hợp lệ"))</f>
        <v/>
      </c>
      <c r="E450" s="7">
        <f>IF(C450="","",IFERROR(INDEX('Quy dinh'!$C$14:$C$18,MATCH(C450,'Quy dinh'!$A$14:$A$18,0)),0))</f>
        <v/>
      </c>
      <c r="F450" s="19" t="n"/>
      <c r="G450" s="19" t="n"/>
      <c r="H450" s="17">
        <f>IF(A450="","",TEXT(A450,"yyyy-mm"))</f>
        <v/>
      </c>
    </row>
    <row r="451">
      <c r="A451" s="22" t="n"/>
      <c r="B451" s="19" t="n"/>
      <c r="C451" s="19" t="n"/>
      <c r="D451" s="18">
        <f>IF(C451="","",IFERROR(INDEX('Quy dinh'!$B$14:$B$18,MATCH(C451,'Quy dinh'!$A$14:$A$18,0)),"Mã lỗi không hợp lệ"))</f>
        <v/>
      </c>
      <c r="E451" s="7">
        <f>IF(C451="","",IFERROR(INDEX('Quy dinh'!$C$14:$C$18,MATCH(C451,'Quy dinh'!$A$14:$A$18,0)),0))</f>
        <v/>
      </c>
      <c r="F451" s="19" t="n"/>
      <c r="G451" s="19" t="n"/>
      <c r="H451" s="17">
        <f>IF(A451="","",TEXT(A451,"yyyy-mm"))</f>
        <v/>
      </c>
    </row>
    <row r="452">
      <c r="A452" s="22" t="n"/>
      <c r="B452" s="19" t="n"/>
      <c r="C452" s="19" t="n"/>
      <c r="D452" s="18">
        <f>IF(C452="","",IFERROR(INDEX('Quy dinh'!$B$14:$B$18,MATCH(C452,'Quy dinh'!$A$14:$A$18,0)),"Mã lỗi không hợp lệ"))</f>
        <v/>
      </c>
      <c r="E452" s="7">
        <f>IF(C452="","",IFERROR(INDEX('Quy dinh'!$C$14:$C$18,MATCH(C452,'Quy dinh'!$A$14:$A$18,0)),0))</f>
        <v/>
      </c>
      <c r="F452" s="19" t="n"/>
      <c r="G452" s="19" t="n"/>
      <c r="H452" s="17">
        <f>IF(A452="","",TEXT(A452,"yyyy-mm"))</f>
        <v/>
      </c>
    </row>
    <row r="453">
      <c r="A453" s="22" t="n"/>
      <c r="B453" s="19" t="n"/>
      <c r="C453" s="19" t="n"/>
      <c r="D453" s="18">
        <f>IF(C453="","",IFERROR(INDEX('Quy dinh'!$B$14:$B$18,MATCH(C453,'Quy dinh'!$A$14:$A$18,0)),"Mã lỗi không hợp lệ"))</f>
        <v/>
      </c>
      <c r="E453" s="7">
        <f>IF(C453="","",IFERROR(INDEX('Quy dinh'!$C$14:$C$18,MATCH(C453,'Quy dinh'!$A$14:$A$18,0)),0))</f>
        <v/>
      </c>
      <c r="F453" s="19" t="n"/>
      <c r="G453" s="19" t="n"/>
      <c r="H453" s="17">
        <f>IF(A453="","",TEXT(A453,"yyyy-mm"))</f>
        <v/>
      </c>
    </row>
    <row r="454">
      <c r="A454" s="22" t="n"/>
      <c r="B454" s="19" t="n"/>
      <c r="C454" s="19" t="n"/>
      <c r="D454" s="18">
        <f>IF(C454="","",IFERROR(INDEX('Quy dinh'!$B$14:$B$18,MATCH(C454,'Quy dinh'!$A$14:$A$18,0)),"Mã lỗi không hợp lệ"))</f>
        <v/>
      </c>
      <c r="E454" s="7">
        <f>IF(C454="","",IFERROR(INDEX('Quy dinh'!$C$14:$C$18,MATCH(C454,'Quy dinh'!$A$14:$A$18,0)),0))</f>
        <v/>
      </c>
      <c r="F454" s="19" t="n"/>
      <c r="G454" s="19" t="n"/>
      <c r="H454" s="17">
        <f>IF(A454="","",TEXT(A454,"yyyy-mm"))</f>
        <v/>
      </c>
    </row>
    <row r="455">
      <c r="A455" s="22" t="n"/>
      <c r="B455" s="19" t="n"/>
      <c r="C455" s="19" t="n"/>
      <c r="D455" s="18">
        <f>IF(C455="","",IFERROR(INDEX('Quy dinh'!$B$14:$B$18,MATCH(C455,'Quy dinh'!$A$14:$A$18,0)),"Mã lỗi không hợp lệ"))</f>
        <v/>
      </c>
      <c r="E455" s="7">
        <f>IF(C455="","",IFERROR(INDEX('Quy dinh'!$C$14:$C$18,MATCH(C455,'Quy dinh'!$A$14:$A$18,0)),0))</f>
        <v/>
      </c>
      <c r="F455" s="19" t="n"/>
      <c r="G455" s="19" t="n"/>
      <c r="H455" s="17">
        <f>IF(A455="","",TEXT(A455,"yyyy-mm"))</f>
        <v/>
      </c>
    </row>
    <row r="456">
      <c r="A456" s="22" t="n"/>
      <c r="B456" s="19" t="n"/>
      <c r="C456" s="19" t="n"/>
      <c r="D456" s="18">
        <f>IF(C456="","",IFERROR(INDEX('Quy dinh'!$B$14:$B$18,MATCH(C456,'Quy dinh'!$A$14:$A$18,0)),"Mã lỗi không hợp lệ"))</f>
        <v/>
      </c>
      <c r="E456" s="7">
        <f>IF(C456="","",IFERROR(INDEX('Quy dinh'!$C$14:$C$18,MATCH(C456,'Quy dinh'!$A$14:$A$18,0)),0))</f>
        <v/>
      </c>
      <c r="F456" s="19" t="n"/>
      <c r="G456" s="19" t="n"/>
      <c r="H456" s="17">
        <f>IF(A456="","",TEXT(A456,"yyyy-mm"))</f>
        <v/>
      </c>
    </row>
    <row r="457">
      <c r="A457" s="22" t="n"/>
      <c r="B457" s="19" t="n"/>
      <c r="C457" s="19" t="n"/>
      <c r="D457" s="18">
        <f>IF(C457="","",IFERROR(INDEX('Quy dinh'!$B$14:$B$18,MATCH(C457,'Quy dinh'!$A$14:$A$18,0)),"Mã lỗi không hợp lệ"))</f>
        <v/>
      </c>
      <c r="E457" s="7">
        <f>IF(C457="","",IFERROR(INDEX('Quy dinh'!$C$14:$C$18,MATCH(C457,'Quy dinh'!$A$14:$A$18,0)),0))</f>
        <v/>
      </c>
      <c r="F457" s="19" t="n"/>
      <c r="G457" s="19" t="n"/>
      <c r="H457" s="17">
        <f>IF(A457="","",TEXT(A457,"yyyy-mm"))</f>
        <v/>
      </c>
    </row>
    <row r="458">
      <c r="A458" s="22" t="n"/>
      <c r="B458" s="19" t="n"/>
      <c r="C458" s="19" t="n"/>
      <c r="D458" s="18">
        <f>IF(C458="","",IFERROR(INDEX('Quy dinh'!$B$14:$B$18,MATCH(C458,'Quy dinh'!$A$14:$A$18,0)),"Mã lỗi không hợp lệ"))</f>
        <v/>
      </c>
      <c r="E458" s="7">
        <f>IF(C458="","",IFERROR(INDEX('Quy dinh'!$C$14:$C$18,MATCH(C458,'Quy dinh'!$A$14:$A$18,0)),0))</f>
        <v/>
      </c>
      <c r="F458" s="19" t="n"/>
      <c r="G458" s="19" t="n"/>
      <c r="H458" s="17">
        <f>IF(A458="","",TEXT(A458,"yyyy-mm"))</f>
        <v/>
      </c>
    </row>
    <row r="459">
      <c r="A459" s="22" t="n"/>
      <c r="B459" s="19" t="n"/>
      <c r="C459" s="19" t="n"/>
      <c r="D459" s="18">
        <f>IF(C459="","",IFERROR(INDEX('Quy dinh'!$B$14:$B$18,MATCH(C459,'Quy dinh'!$A$14:$A$18,0)),"Mã lỗi không hợp lệ"))</f>
        <v/>
      </c>
      <c r="E459" s="7">
        <f>IF(C459="","",IFERROR(INDEX('Quy dinh'!$C$14:$C$18,MATCH(C459,'Quy dinh'!$A$14:$A$18,0)),0))</f>
        <v/>
      </c>
      <c r="F459" s="19" t="n"/>
      <c r="G459" s="19" t="n"/>
      <c r="H459" s="17">
        <f>IF(A459="","",TEXT(A459,"yyyy-mm"))</f>
        <v/>
      </c>
    </row>
    <row r="460">
      <c r="A460" s="22" t="n"/>
      <c r="B460" s="19" t="n"/>
      <c r="C460" s="19" t="n"/>
      <c r="D460" s="18">
        <f>IF(C460="","",IFERROR(INDEX('Quy dinh'!$B$14:$B$18,MATCH(C460,'Quy dinh'!$A$14:$A$18,0)),"Mã lỗi không hợp lệ"))</f>
        <v/>
      </c>
      <c r="E460" s="7">
        <f>IF(C460="","",IFERROR(INDEX('Quy dinh'!$C$14:$C$18,MATCH(C460,'Quy dinh'!$A$14:$A$18,0)),0))</f>
        <v/>
      </c>
      <c r="F460" s="19" t="n"/>
      <c r="G460" s="19" t="n"/>
      <c r="H460" s="17">
        <f>IF(A460="","",TEXT(A460,"yyyy-mm"))</f>
        <v/>
      </c>
    </row>
    <row r="461">
      <c r="A461" s="22" t="n"/>
      <c r="B461" s="19" t="n"/>
      <c r="C461" s="19" t="n"/>
      <c r="D461" s="18">
        <f>IF(C461="","",IFERROR(INDEX('Quy dinh'!$B$14:$B$18,MATCH(C461,'Quy dinh'!$A$14:$A$18,0)),"Mã lỗi không hợp lệ"))</f>
        <v/>
      </c>
      <c r="E461" s="7">
        <f>IF(C461="","",IFERROR(INDEX('Quy dinh'!$C$14:$C$18,MATCH(C461,'Quy dinh'!$A$14:$A$18,0)),0))</f>
        <v/>
      </c>
      <c r="F461" s="19" t="n"/>
      <c r="G461" s="19" t="n"/>
      <c r="H461" s="17">
        <f>IF(A461="","",TEXT(A461,"yyyy-mm"))</f>
        <v/>
      </c>
    </row>
    <row r="462">
      <c r="A462" s="22" t="n"/>
      <c r="B462" s="19" t="n"/>
      <c r="C462" s="19" t="n"/>
      <c r="D462" s="18">
        <f>IF(C462="","",IFERROR(INDEX('Quy dinh'!$B$14:$B$18,MATCH(C462,'Quy dinh'!$A$14:$A$18,0)),"Mã lỗi không hợp lệ"))</f>
        <v/>
      </c>
      <c r="E462" s="7">
        <f>IF(C462="","",IFERROR(INDEX('Quy dinh'!$C$14:$C$18,MATCH(C462,'Quy dinh'!$A$14:$A$18,0)),0))</f>
        <v/>
      </c>
      <c r="F462" s="19" t="n"/>
      <c r="G462" s="19" t="n"/>
      <c r="H462" s="17">
        <f>IF(A462="","",TEXT(A462,"yyyy-mm"))</f>
        <v/>
      </c>
    </row>
    <row r="463">
      <c r="A463" s="22" t="n"/>
      <c r="B463" s="19" t="n"/>
      <c r="C463" s="19" t="n"/>
      <c r="D463" s="18">
        <f>IF(C463="","",IFERROR(INDEX('Quy dinh'!$B$14:$B$18,MATCH(C463,'Quy dinh'!$A$14:$A$18,0)),"Mã lỗi không hợp lệ"))</f>
        <v/>
      </c>
      <c r="E463" s="7">
        <f>IF(C463="","",IFERROR(INDEX('Quy dinh'!$C$14:$C$18,MATCH(C463,'Quy dinh'!$A$14:$A$18,0)),0))</f>
        <v/>
      </c>
      <c r="F463" s="19" t="n"/>
      <c r="G463" s="19" t="n"/>
      <c r="H463" s="17">
        <f>IF(A463="","",TEXT(A463,"yyyy-mm"))</f>
        <v/>
      </c>
    </row>
    <row r="464">
      <c r="A464" s="22" t="n"/>
      <c r="B464" s="19" t="n"/>
      <c r="C464" s="19" t="n"/>
      <c r="D464" s="18">
        <f>IF(C464="","",IFERROR(INDEX('Quy dinh'!$B$14:$B$18,MATCH(C464,'Quy dinh'!$A$14:$A$18,0)),"Mã lỗi không hợp lệ"))</f>
        <v/>
      </c>
      <c r="E464" s="7">
        <f>IF(C464="","",IFERROR(INDEX('Quy dinh'!$C$14:$C$18,MATCH(C464,'Quy dinh'!$A$14:$A$18,0)),0))</f>
        <v/>
      </c>
      <c r="F464" s="19" t="n"/>
      <c r="G464" s="19" t="n"/>
      <c r="H464" s="17">
        <f>IF(A464="","",TEXT(A464,"yyyy-mm"))</f>
        <v/>
      </c>
    </row>
    <row r="465">
      <c r="A465" s="22" t="n"/>
      <c r="B465" s="19" t="n"/>
      <c r="C465" s="19" t="n"/>
      <c r="D465" s="18">
        <f>IF(C465="","",IFERROR(INDEX('Quy dinh'!$B$14:$B$18,MATCH(C465,'Quy dinh'!$A$14:$A$18,0)),"Mã lỗi không hợp lệ"))</f>
        <v/>
      </c>
      <c r="E465" s="7">
        <f>IF(C465="","",IFERROR(INDEX('Quy dinh'!$C$14:$C$18,MATCH(C465,'Quy dinh'!$A$14:$A$18,0)),0))</f>
        <v/>
      </c>
      <c r="F465" s="19" t="n"/>
      <c r="G465" s="19" t="n"/>
      <c r="H465" s="17">
        <f>IF(A465="","",TEXT(A465,"yyyy-mm"))</f>
        <v/>
      </c>
    </row>
    <row r="466">
      <c r="A466" s="22" t="n"/>
      <c r="B466" s="19" t="n"/>
      <c r="C466" s="19" t="n"/>
      <c r="D466" s="18">
        <f>IF(C466="","",IFERROR(INDEX('Quy dinh'!$B$14:$B$18,MATCH(C466,'Quy dinh'!$A$14:$A$18,0)),"Mã lỗi không hợp lệ"))</f>
        <v/>
      </c>
      <c r="E466" s="7">
        <f>IF(C466="","",IFERROR(INDEX('Quy dinh'!$C$14:$C$18,MATCH(C466,'Quy dinh'!$A$14:$A$18,0)),0))</f>
        <v/>
      </c>
      <c r="F466" s="19" t="n"/>
      <c r="G466" s="19" t="n"/>
      <c r="H466" s="17">
        <f>IF(A466="","",TEXT(A466,"yyyy-mm"))</f>
        <v/>
      </c>
    </row>
    <row r="467">
      <c r="A467" s="22" t="n"/>
      <c r="B467" s="19" t="n"/>
      <c r="C467" s="19" t="n"/>
      <c r="D467" s="18">
        <f>IF(C467="","",IFERROR(INDEX('Quy dinh'!$B$14:$B$18,MATCH(C467,'Quy dinh'!$A$14:$A$18,0)),"Mã lỗi không hợp lệ"))</f>
        <v/>
      </c>
      <c r="E467" s="7">
        <f>IF(C467="","",IFERROR(INDEX('Quy dinh'!$C$14:$C$18,MATCH(C467,'Quy dinh'!$A$14:$A$18,0)),0))</f>
        <v/>
      </c>
      <c r="F467" s="19" t="n"/>
      <c r="G467" s="19" t="n"/>
      <c r="H467" s="17">
        <f>IF(A467="","",TEXT(A467,"yyyy-mm"))</f>
        <v/>
      </c>
    </row>
    <row r="468">
      <c r="A468" s="22" t="n"/>
      <c r="B468" s="19" t="n"/>
      <c r="C468" s="19" t="n"/>
      <c r="D468" s="18">
        <f>IF(C468="","",IFERROR(INDEX('Quy dinh'!$B$14:$B$18,MATCH(C468,'Quy dinh'!$A$14:$A$18,0)),"Mã lỗi không hợp lệ"))</f>
        <v/>
      </c>
      <c r="E468" s="7">
        <f>IF(C468="","",IFERROR(INDEX('Quy dinh'!$C$14:$C$18,MATCH(C468,'Quy dinh'!$A$14:$A$18,0)),0))</f>
        <v/>
      </c>
      <c r="F468" s="19" t="n"/>
      <c r="G468" s="19" t="n"/>
      <c r="H468" s="17">
        <f>IF(A468="","",TEXT(A468,"yyyy-mm"))</f>
        <v/>
      </c>
    </row>
    <row r="469">
      <c r="A469" s="22" t="n"/>
      <c r="B469" s="19" t="n"/>
      <c r="C469" s="19" t="n"/>
      <c r="D469" s="18">
        <f>IF(C469="","",IFERROR(INDEX('Quy dinh'!$B$14:$B$18,MATCH(C469,'Quy dinh'!$A$14:$A$18,0)),"Mã lỗi không hợp lệ"))</f>
        <v/>
      </c>
      <c r="E469" s="7">
        <f>IF(C469="","",IFERROR(INDEX('Quy dinh'!$C$14:$C$18,MATCH(C469,'Quy dinh'!$A$14:$A$18,0)),0))</f>
        <v/>
      </c>
      <c r="F469" s="19" t="n"/>
      <c r="G469" s="19" t="n"/>
      <c r="H469" s="17">
        <f>IF(A469="","",TEXT(A469,"yyyy-mm"))</f>
        <v/>
      </c>
    </row>
    <row r="470">
      <c r="A470" s="22" t="n"/>
      <c r="B470" s="19" t="n"/>
      <c r="C470" s="19" t="n"/>
      <c r="D470" s="18">
        <f>IF(C470="","",IFERROR(INDEX('Quy dinh'!$B$14:$B$18,MATCH(C470,'Quy dinh'!$A$14:$A$18,0)),"Mã lỗi không hợp lệ"))</f>
        <v/>
      </c>
      <c r="E470" s="7">
        <f>IF(C470="","",IFERROR(INDEX('Quy dinh'!$C$14:$C$18,MATCH(C470,'Quy dinh'!$A$14:$A$18,0)),0))</f>
        <v/>
      </c>
      <c r="F470" s="19" t="n"/>
      <c r="G470" s="19" t="n"/>
      <c r="H470" s="17">
        <f>IF(A470="","",TEXT(A470,"yyyy-mm"))</f>
        <v/>
      </c>
    </row>
    <row r="471">
      <c r="A471" s="22" t="n"/>
      <c r="B471" s="19" t="n"/>
      <c r="C471" s="19" t="n"/>
      <c r="D471" s="18">
        <f>IF(C471="","",IFERROR(INDEX('Quy dinh'!$B$14:$B$18,MATCH(C471,'Quy dinh'!$A$14:$A$18,0)),"Mã lỗi không hợp lệ"))</f>
        <v/>
      </c>
      <c r="E471" s="7">
        <f>IF(C471="","",IFERROR(INDEX('Quy dinh'!$C$14:$C$18,MATCH(C471,'Quy dinh'!$A$14:$A$18,0)),0))</f>
        <v/>
      </c>
      <c r="F471" s="19" t="n"/>
      <c r="G471" s="19" t="n"/>
      <c r="H471" s="17">
        <f>IF(A471="","",TEXT(A471,"yyyy-mm"))</f>
        <v/>
      </c>
    </row>
    <row r="472">
      <c r="A472" s="22" t="n"/>
      <c r="B472" s="19" t="n"/>
      <c r="C472" s="19" t="n"/>
      <c r="D472" s="18">
        <f>IF(C472="","",IFERROR(INDEX('Quy dinh'!$B$14:$B$18,MATCH(C472,'Quy dinh'!$A$14:$A$18,0)),"Mã lỗi không hợp lệ"))</f>
        <v/>
      </c>
      <c r="E472" s="7">
        <f>IF(C472="","",IFERROR(INDEX('Quy dinh'!$C$14:$C$18,MATCH(C472,'Quy dinh'!$A$14:$A$18,0)),0))</f>
        <v/>
      </c>
      <c r="F472" s="19" t="n"/>
      <c r="G472" s="19" t="n"/>
      <c r="H472" s="17">
        <f>IF(A472="","",TEXT(A472,"yyyy-mm"))</f>
        <v/>
      </c>
    </row>
    <row r="473">
      <c r="A473" s="22" t="n"/>
      <c r="B473" s="19" t="n"/>
      <c r="C473" s="19" t="n"/>
      <c r="D473" s="18">
        <f>IF(C473="","",IFERROR(INDEX('Quy dinh'!$B$14:$B$18,MATCH(C473,'Quy dinh'!$A$14:$A$18,0)),"Mã lỗi không hợp lệ"))</f>
        <v/>
      </c>
      <c r="E473" s="7">
        <f>IF(C473="","",IFERROR(INDEX('Quy dinh'!$C$14:$C$18,MATCH(C473,'Quy dinh'!$A$14:$A$18,0)),0))</f>
        <v/>
      </c>
      <c r="F473" s="19" t="n"/>
      <c r="G473" s="19" t="n"/>
      <c r="H473" s="17">
        <f>IF(A473="","",TEXT(A473,"yyyy-mm"))</f>
        <v/>
      </c>
    </row>
    <row r="474">
      <c r="A474" s="22" t="n"/>
      <c r="B474" s="19" t="n"/>
      <c r="C474" s="19" t="n"/>
      <c r="D474" s="18">
        <f>IF(C474="","",IFERROR(INDEX('Quy dinh'!$B$14:$B$18,MATCH(C474,'Quy dinh'!$A$14:$A$18,0)),"Mã lỗi không hợp lệ"))</f>
        <v/>
      </c>
      <c r="E474" s="7">
        <f>IF(C474="","",IFERROR(INDEX('Quy dinh'!$C$14:$C$18,MATCH(C474,'Quy dinh'!$A$14:$A$18,0)),0))</f>
        <v/>
      </c>
      <c r="F474" s="19" t="n"/>
      <c r="G474" s="19" t="n"/>
      <c r="H474" s="17">
        <f>IF(A474="","",TEXT(A474,"yyyy-mm"))</f>
        <v/>
      </c>
    </row>
    <row r="475">
      <c r="A475" s="22" t="n"/>
      <c r="B475" s="19" t="n"/>
      <c r="C475" s="19" t="n"/>
      <c r="D475" s="18">
        <f>IF(C475="","",IFERROR(INDEX('Quy dinh'!$B$14:$B$18,MATCH(C475,'Quy dinh'!$A$14:$A$18,0)),"Mã lỗi không hợp lệ"))</f>
        <v/>
      </c>
      <c r="E475" s="7">
        <f>IF(C475="","",IFERROR(INDEX('Quy dinh'!$C$14:$C$18,MATCH(C475,'Quy dinh'!$A$14:$A$18,0)),0))</f>
        <v/>
      </c>
      <c r="F475" s="19" t="n"/>
      <c r="G475" s="19" t="n"/>
      <c r="H475" s="17">
        <f>IF(A475="","",TEXT(A475,"yyyy-mm"))</f>
        <v/>
      </c>
    </row>
    <row r="476">
      <c r="A476" s="22" t="n"/>
      <c r="B476" s="19" t="n"/>
      <c r="C476" s="19" t="n"/>
      <c r="D476" s="18">
        <f>IF(C476="","",IFERROR(INDEX('Quy dinh'!$B$14:$B$18,MATCH(C476,'Quy dinh'!$A$14:$A$18,0)),"Mã lỗi không hợp lệ"))</f>
        <v/>
      </c>
      <c r="E476" s="7">
        <f>IF(C476="","",IFERROR(INDEX('Quy dinh'!$C$14:$C$18,MATCH(C476,'Quy dinh'!$A$14:$A$18,0)),0))</f>
        <v/>
      </c>
      <c r="F476" s="19" t="n"/>
      <c r="G476" s="19" t="n"/>
      <c r="H476" s="17">
        <f>IF(A476="","",TEXT(A476,"yyyy-mm"))</f>
        <v/>
      </c>
    </row>
    <row r="477">
      <c r="A477" s="22" t="n"/>
      <c r="B477" s="19" t="n"/>
      <c r="C477" s="19" t="n"/>
      <c r="D477" s="18">
        <f>IF(C477="","",IFERROR(INDEX('Quy dinh'!$B$14:$B$18,MATCH(C477,'Quy dinh'!$A$14:$A$18,0)),"Mã lỗi không hợp lệ"))</f>
        <v/>
      </c>
      <c r="E477" s="7">
        <f>IF(C477="","",IFERROR(INDEX('Quy dinh'!$C$14:$C$18,MATCH(C477,'Quy dinh'!$A$14:$A$18,0)),0))</f>
        <v/>
      </c>
      <c r="F477" s="19" t="n"/>
      <c r="G477" s="19" t="n"/>
      <c r="H477" s="17">
        <f>IF(A477="","",TEXT(A477,"yyyy-mm"))</f>
        <v/>
      </c>
    </row>
    <row r="478">
      <c r="A478" s="22" t="n"/>
      <c r="B478" s="19" t="n"/>
      <c r="C478" s="19" t="n"/>
      <c r="D478" s="18">
        <f>IF(C478="","",IFERROR(INDEX('Quy dinh'!$B$14:$B$18,MATCH(C478,'Quy dinh'!$A$14:$A$18,0)),"Mã lỗi không hợp lệ"))</f>
        <v/>
      </c>
      <c r="E478" s="7">
        <f>IF(C478="","",IFERROR(INDEX('Quy dinh'!$C$14:$C$18,MATCH(C478,'Quy dinh'!$A$14:$A$18,0)),0))</f>
        <v/>
      </c>
      <c r="F478" s="19" t="n"/>
      <c r="G478" s="19" t="n"/>
      <c r="H478" s="17">
        <f>IF(A478="","",TEXT(A478,"yyyy-mm"))</f>
        <v/>
      </c>
    </row>
    <row r="479">
      <c r="A479" s="22" t="n"/>
      <c r="B479" s="19" t="n"/>
      <c r="C479" s="19" t="n"/>
      <c r="D479" s="18">
        <f>IF(C479="","",IFERROR(INDEX('Quy dinh'!$B$14:$B$18,MATCH(C479,'Quy dinh'!$A$14:$A$18,0)),"Mã lỗi không hợp lệ"))</f>
        <v/>
      </c>
      <c r="E479" s="7">
        <f>IF(C479="","",IFERROR(INDEX('Quy dinh'!$C$14:$C$18,MATCH(C479,'Quy dinh'!$A$14:$A$18,0)),0))</f>
        <v/>
      </c>
      <c r="F479" s="19" t="n"/>
      <c r="G479" s="19" t="n"/>
      <c r="H479" s="17">
        <f>IF(A479="","",TEXT(A479,"yyyy-mm"))</f>
        <v/>
      </c>
    </row>
    <row r="480">
      <c r="A480" s="22" t="n"/>
      <c r="B480" s="19" t="n"/>
      <c r="C480" s="19" t="n"/>
      <c r="D480" s="18">
        <f>IF(C480="","",IFERROR(INDEX('Quy dinh'!$B$14:$B$18,MATCH(C480,'Quy dinh'!$A$14:$A$18,0)),"Mã lỗi không hợp lệ"))</f>
        <v/>
      </c>
      <c r="E480" s="7">
        <f>IF(C480="","",IFERROR(INDEX('Quy dinh'!$C$14:$C$18,MATCH(C480,'Quy dinh'!$A$14:$A$18,0)),0))</f>
        <v/>
      </c>
      <c r="F480" s="19" t="n"/>
      <c r="G480" s="19" t="n"/>
      <c r="H480" s="17">
        <f>IF(A480="","",TEXT(A480,"yyyy-mm"))</f>
        <v/>
      </c>
    </row>
    <row r="481">
      <c r="A481" s="22" t="n"/>
      <c r="B481" s="19" t="n"/>
      <c r="C481" s="19" t="n"/>
      <c r="D481" s="18">
        <f>IF(C481="","",IFERROR(INDEX('Quy dinh'!$B$14:$B$18,MATCH(C481,'Quy dinh'!$A$14:$A$18,0)),"Mã lỗi không hợp lệ"))</f>
        <v/>
      </c>
      <c r="E481" s="7">
        <f>IF(C481="","",IFERROR(INDEX('Quy dinh'!$C$14:$C$18,MATCH(C481,'Quy dinh'!$A$14:$A$18,0)),0))</f>
        <v/>
      </c>
      <c r="F481" s="19" t="n"/>
      <c r="G481" s="19" t="n"/>
      <c r="H481" s="17">
        <f>IF(A481="","",TEXT(A481,"yyyy-mm"))</f>
        <v/>
      </c>
    </row>
    <row r="482">
      <c r="A482" s="22" t="n"/>
      <c r="B482" s="19" t="n"/>
      <c r="C482" s="19" t="n"/>
      <c r="D482" s="18">
        <f>IF(C482="","",IFERROR(INDEX('Quy dinh'!$B$14:$B$18,MATCH(C482,'Quy dinh'!$A$14:$A$18,0)),"Mã lỗi không hợp lệ"))</f>
        <v/>
      </c>
      <c r="E482" s="7">
        <f>IF(C482="","",IFERROR(INDEX('Quy dinh'!$C$14:$C$18,MATCH(C482,'Quy dinh'!$A$14:$A$18,0)),0))</f>
        <v/>
      </c>
      <c r="F482" s="19" t="n"/>
      <c r="G482" s="19" t="n"/>
      <c r="H482" s="17">
        <f>IF(A482="","",TEXT(A482,"yyyy-mm"))</f>
        <v/>
      </c>
    </row>
    <row r="483">
      <c r="A483" s="22" t="n"/>
      <c r="B483" s="19" t="n"/>
      <c r="C483" s="19" t="n"/>
      <c r="D483" s="18">
        <f>IF(C483="","",IFERROR(INDEX('Quy dinh'!$B$14:$B$18,MATCH(C483,'Quy dinh'!$A$14:$A$18,0)),"Mã lỗi không hợp lệ"))</f>
        <v/>
      </c>
      <c r="E483" s="7">
        <f>IF(C483="","",IFERROR(INDEX('Quy dinh'!$C$14:$C$18,MATCH(C483,'Quy dinh'!$A$14:$A$18,0)),0))</f>
        <v/>
      </c>
      <c r="F483" s="19" t="n"/>
      <c r="G483" s="19" t="n"/>
      <c r="H483" s="17">
        <f>IF(A483="","",TEXT(A483,"yyyy-mm"))</f>
        <v/>
      </c>
    </row>
    <row r="484">
      <c r="A484" s="22" t="n"/>
      <c r="B484" s="19" t="n"/>
      <c r="C484" s="19" t="n"/>
      <c r="D484" s="18">
        <f>IF(C484="","",IFERROR(INDEX('Quy dinh'!$B$14:$B$18,MATCH(C484,'Quy dinh'!$A$14:$A$18,0)),"Mã lỗi không hợp lệ"))</f>
        <v/>
      </c>
      <c r="E484" s="7">
        <f>IF(C484="","",IFERROR(INDEX('Quy dinh'!$C$14:$C$18,MATCH(C484,'Quy dinh'!$A$14:$A$18,0)),0))</f>
        <v/>
      </c>
      <c r="F484" s="19" t="n"/>
      <c r="G484" s="19" t="n"/>
      <c r="H484" s="17">
        <f>IF(A484="","",TEXT(A484,"yyyy-mm"))</f>
        <v/>
      </c>
    </row>
    <row r="485">
      <c r="A485" s="22" t="n"/>
      <c r="B485" s="19" t="n"/>
      <c r="C485" s="19" t="n"/>
      <c r="D485" s="18">
        <f>IF(C485="","",IFERROR(INDEX('Quy dinh'!$B$14:$B$18,MATCH(C485,'Quy dinh'!$A$14:$A$18,0)),"Mã lỗi không hợp lệ"))</f>
        <v/>
      </c>
      <c r="E485" s="7">
        <f>IF(C485="","",IFERROR(INDEX('Quy dinh'!$C$14:$C$18,MATCH(C485,'Quy dinh'!$A$14:$A$18,0)),0))</f>
        <v/>
      </c>
      <c r="F485" s="19" t="n"/>
      <c r="G485" s="19" t="n"/>
      <c r="H485" s="17">
        <f>IF(A485="","",TEXT(A485,"yyyy-mm"))</f>
        <v/>
      </c>
    </row>
    <row r="486">
      <c r="A486" s="22" t="n"/>
      <c r="B486" s="19" t="n"/>
      <c r="C486" s="19" t="n"/>
      <c r="D486" s="18">
        <f>IF(C486="","",IFERROR(INDEX('Quy dinh'!$B$14:$B$18,MATCH(C486,'Quy dinh'!$A$14:$A$18,0)),"Mã lỗi không hợp lệ"))</f>
        <v/>
      </c>
      <c r="E486" s="7">
        <f>IF(C486="","",IFERROR(INDEX('Quy dinh'!$C$14:$C$18,MATCH(C486,'Quy dinh'!$A$14:$A$18,0)),0))</f>
        <v/>
      </c>
      <c r="F486" s="19" t="n"/>
      <c r="G486" s="19" t="n"/>
      <c r="H486" s="17">
        <f>IF(A486="","",TEXT(A486,"yyyy-mm"))</f>
        <v/>
      </c>
    </row>
    <row r="487">
      <c r="A487" s="22" t="n"/>
      <c r="B487" s="19" t="n"/>
      <c r="C487" s="19" t="n"/>
      <c r="D487" s="18">
        <f>IF(C487="","",IFERROR(INDEX('Quy dinh'!$B$14:$B$18,MATCH(C487,'Quy dinh'!$A$14:$A$18,0)),"Mã lỗi không hợp lệ"))</f>
        <v/>
      </c>
      <c r="E487" s="7">
        <f>IF(C487="","",IFERROR(INDEX('Quy dinh'!$C$14:$C$18,MATCH(C487,'Quy dinh'!$A$14:$A$18,0)),0))</f>
        <v/>
      </c>
      <c r="F487" s="19" t="n"/>
      <c r="G487" s="19" t="n"/>
      <c r="H487" s="17">
        <f>IF(A487="","",TEXT(A487,"yyyy-mm"))</f>
        <v/>
      </c>
    </row>
    <row r="488">
      <c r="A488" s="22" t="n"/>
      <c r="B488" s="19" t="n"/>
      <c r="C488" s="19" t="n"/>
      <c r="D488" s="18">
        <f>IF(C488="","",IFERROR(INDEX('Quy dinh'!$B$14:$B$18,MATCH(C488,'Quy dinh'!$A$14:$A$18,0)),"Mã lỗi không hợp lệ"))</f>
        <v/>
      </c>
      <c r="E488" s="7">
        <f>IF(C488="","",IFERROR(INDEX('Quy dinh'!$C$14:$C$18,MATCH(C488,'Quy dinh'!$A$14:$A$18,0)),0))</f>
        <v/>
      </c>
      <c r="F488" s="19" t="n"/>
      <c r="G488" s="19" t="n"/>
      <c r="H488" s="17">
        <f>IF(A488="","",TEXT(A488,"yyyy-mm"))</f>
        <v/>
      </c>
    </row>
    <row r="489">
      <c r="A489" s="22" t="n"/>
      <c r="B489" s="19" t="n"/>
      <c r="C489" s="19" t="n"/>
      <c r="D489" s="18">
        <f>IF(C489="","",IFERROR(INDEX('Quy dinh'!$B$14:$B$18,MATCH(C489,'Quy dinh'!$A$14:$A$18,0)),"Mã lỗi không hợp lệ"))</f>
        <v/>
      </c>
      <c r="E489" s="7">
        <f>IF(C489="","",IFERROR(INDEX('Quy dinh'!$C$14:$C$18,MATCH(C489,'Quy dinh'!$A$14:$A$18,0)),0))</f>
        <v/>
      </c>
      <c r="F489" s="19" t="n"/>
      <c r="G489" s="19" t="n"/>
      <c r="H489" s="17">
        <f>IF(A489="","",TEXT(A489,"yyyy-mm"))</f>
        <v/>
      </c>
    </row>
    <row r="490">
      <c r="A490" s="22" t="n"/>
      <c r="B490" s="19" t="n"/>
      <c r="C490" s="19" t="n"/>
      <c r="D490" s="18">
        <f>IF(C490="","",IFERROR(INDEX('Quy dinh'!$B$14:$B$18,MATCH(C490,'Quy dinh'!$A$14:$A$18,0)),"Mã lỗi không hợp lệ"))</f>
        <v/>
      </c>
      <c r="E490" s="7">
        <f>IF(C490="","",IFERROR(INDEX('Quy dinh'!$C$14:$C$18,MATCH(C490,'Quy dinh'!$A$14:$A$18,0)),0))</f>
        <v/>
      </c>
      <c r="F490" s="19" t="n"/>
      <c r="G490" s="19" t="n"/>
      <c r="H490" s="17">
        <f>IF(A490="","",TEXT(A490,"yyyy-mm"))</f>
        <v/>
      </c>
    </row>
    <row r="491">
      <c r="A491" s="22" t="n"/>
      <c r="B491" s="19" t="n"/>
      <c r="C491" s="19" t="n"/>
      <c r="D491" s="18">
        <f>IF(C491="","",IFERROR(INDEX('Quy dinh'!$B$14:$B$18,MATCH(C491,'Quy dinh'!$A$14:$A$18,0)),"Mã lỗi không hợp lệ"))</f>
        <v/>
      </c>
      <c r="E491" s="7">
        <f>IF(C491="","",IFERROR(INDEX('Quy dinh'!$C$14:$C$18,MATCH(C491,'Quy dinh'!$A$14:$A$18,0)),0))</f>
        <v/>
      </c>
      <c r="F491" s="19" t="n"/>
      <c r="G491" s="19" t="n"/>
      <c r="H491" s="17">
        <f>IF(A491="","",TEXT(A491,"yyyy-mm"))</f>
        <v/>
      </c>
    </row>
    <row r="492">
      <c r="A492" s="22" t="n"/>
      <c r="B492" s="19" t="n"/>
      <c r="C492" s="19" t="n"/>
      <c r="D492" s="18">
        <f>IF(C492="","",IFERROR(INDEX('Quy dinh'!$B$14:$B$18,MATCH(C492,'Quy dinh'!$A$14:$A$18,0)),"Mã lỗi không hợp lệ"))</f>
        <v/>
      </c>
      <c r="E492" s="7">
        <f>IF(C492="","",IFERROR(INDEX('Quy dinh'!$C$14:$C$18,MATCH(C492,'Quy dinh'!$A$14:$A$18,0)),0))</f>
        <v/>
      </c>
      <c r="F492" s="19" t="n"/>
      <c r="G492" s="19" t="n"/>
      <c r="H492" s="17">
        <f>IF(A492="","",TEXT(A492,"yyyy-mm"))</f>
        <v/>
      </c>
    </row>
    <row r="493">
      <c r="A493" s="22" t="n"/>
      <c r="B493" s="19" t="n"/>
      <c r="C493" s="19" t="n"/>
      <c r="D493" s="18">
        <f>IF(C493="","",IFERROR(INDEX('Quy dinh'!$B$14:$B$18,MATCH(C493,'Quy dinh'!$A$14:$A$18,0)),"Mã lỗi không hợp lệ"))</f>
        <v/>
      </c>
      <c r="E493" s="7">
        <f>IF(C493="","",IFERROR(INDEX('Quy dinh'!$C$14:$C$18,MATCH(C493,'Quy dinh'!$A$14:$A$18,0)),0))</f>
        <v/>
      </c>
      <c r="F493" s="19" t="n"/>
      <c r="G493" s="19" t="n"/>
      <c r="H493" s="17">
        <f>IF(A493="","",TEXT(A493,"yyyy-mm"))</f>
        <v/>
      </c>
    </row>
    <row r="494">
      <c r="A494" s="22" t="n"/>
      <c r="B494" s="19" t="n"/>
      <c r="C494" s="19" t="n"/>
      <c r="D494" s="18">
        <f>IF(C494="","",IFERROR(INDEX('Quy dinh'!$B$14:$B$18,MATCH(C494,'Quy dinh'!$A$14:$A$18,0)),"Mã lỗi không hợp lệ"))</f>
        <v/>
      </c>
      <c r="E494" s="7">
        <f>IF(C494="","",IFERROR(INDEX('Quy dinh'!$C$14:$C$18,MATCH(C494,'Quy dinh'!$A$14:$A$18,0)),0))</f>
        <v/>
      </c>
      <c r="F494" s="19" t="n"/>
      <c r="G494" s="19" t="n"/>
      <c r="H494" s="17">
        <f>IF(A494="","",TEXT(A494,"yyyy-mm"))</f>
        <v/>
      </c>
    </row>
    <row r="495">
      <c r="A495" s="22" t="n"/>
      <c r="B495" s="19" t="n"/>
      <c r="C495" s="19" t="n"/>
      <c r="D495" s="18">
        <f>IF(C495="","",IFERROR(INDEX('Quy dinh'!$B$14:$B$18,MATCH(C495,'Quy dinh'!$A$14:$A$18,0)),"Mã lỗi không hợp lệ"))</f>
        <v/>
      </c>
      <c r="E495" s="7">
        <f>IF(C495="","",IFERROR(INDEX('Quy dinh'!$C$14:$C$18,MATCH(C495,'Quy dinh'!$A$14:$A$18,0)),0))</f>
        <v/>
      </c>
      <c r="F495" s="19" t="n"/>
      <c r="G495" s="19" t="n"/>
      <c r="H495" s="17">
        <f>IF(A495="","",TEXT(A495,"yyyy-mm"))</f>
        <v/>
      </c>
    </row>
    <row r="496">
      <c r="A496" s="22" t="n"/>
      <c r="B496" s="19" t="n"/>
      <c r="C496" s="19" t="n"/>
      <c r="D496" s="18">
        <f>IF(C496="","",IFERROR(INDEX('Quy dinh'!$B$14:$B$18,MATCH(C496,'Quy dinh'!$A$14:$A$18,0)),"Mã lỗi không hợp lệ"))</f>
        <v/>
      </c>
      <c r="E496" s="7">
        <f>IF(C496="","",IFERROR(INDEX('Quy dinh'!$C$14:$C$18,MATCH(C496,'Quy dinh'!$A$14:$A$18,0)),0))</f>
        <v/>
      </c>
      <c r="F496" s="19" t="n"/>
      <c r="G496" s="19" t="n"/>
      <c r="H496" s="17">
        <f>IF(A496="","",TEXT(A496,"yyyy-mm"))</f>
        <v/>
      </c>
    </row>
    <row r="497">
      <c r="A497" s="22" t="n"/>
      <c r="B497" s="19" t="n"/>
      <c r="C497" s="19" t="n"/>
      <c r="D497" s="18">
        <f>IF(C497="","",IFERROR(INDEX('Quy dinh'!$B$14:$B$18,MATCH(C497,'Quy dinh'!$A$14:$A$18,0)),"Mã lỗi không hợp lệ"))</f>
        <v/>
      </c>
      <c r="E497" s="7">
        <f>IF(C497="","",IFERROR(INDEX('Quy dinh'!$C$14:$C$18,MATCH(C497,'Quy dinh'!$A$14:$A$18,0)),0))</f>
        <v/>
      </c>
      <c r="F497" s="19" t="n"/>
      <c r="G497" s="19" t="n"/>
      <c r="H497" s="17">
        <f>IF(A497="","",TEXT(A497,"yyyy-mm"))</f>
        <v/>
      </c>
    </row>
    <row r="498">
      <c r="A498" s="22" t="n"/>
      <c r="B498" s="19" t="n"/>
      <c r="C498" s="19" t="n"/>
      <c r="D498" s="18">
        <f>IF(C498="","",IFERROR(INDEX('Quy dinh'!$B$14:$B$18,MATCH(C498,'Quy dinh'!$A$14:$A$18,0)),"Mã lỗi không hợp lệ"))</f>
        <v/>
      </c>
      <c r="E498" s="7">
        <f>IF(C498="","",IFERROR(INDEX('Quy dinh'!$C$14:$C$18,MATCH(C498,'Quy dinh'!$A$14:$A$18,0)),0))</f>
        <v/>
      </c>
      <c r="F498" s="19" t="n"/>
      <c r="G498" s="19" t="n"/>
      <c r="H498" s="17">
        <f>IF(A498="","",TEXT(A498,"yyyy-mm"))</f>
        <v/>
      </c>
    </row>
    <row r="499">
      <c r="A499" s="22" t="n"/>
      <c r="B499" s="19" t="n"/>
      <c r="C499" s="19" t="n"/>
      <c r="D499" s="18">
        <f>IF(C499="","",IFERROR(INDEX('Quy dinh'!$B$14:$B$18,MATCH(C499,'Quy dinh'!$A$14:$A$18,0)),"Mã lỗi không hợp lệ"))</f>
        <v/>
      </c>
      <c r="E499" s="7">
        <f>IF(C499="","",IFERROR(INDEX('Quy dinh'!$C$14:$C$18,MATCH(C499,'Quy dinh'!$A$14:$A$18,0)),0))</f>
        <v/>
      </c>
      <c r="F499" s="19" t="n"/>
      <c r="G499" s="19" t="n"/>
      <c r="H499" s="17">
        <f>IF(A499="","",TEXT(A499,"yyyy-mm"))</f>
        <v/>
      </c>
    </row>
    <row r="500">
      <c r="A500" s="22" t="n"/>
      <c r="B500" s="19" t="n"/>
      <c r="C500" s="19" t="n"/>
      <c r="D500" s="18">
        <f>IF(C500="","",IFERROR(INDEX('Quy dinh'!$B$14:$B$18,MATCH(C500,'Quy dinh'!$A$14:$A$18,0)),"Mã lỗi không hợp lệ"))</f>
        <v/>
      </c>
      <c r="E500" s="7">
        <f>IF(C500="","",IFERROR(INDEX('Quy dinh'!$C$14:$C$18,MATCH(C500,'Quy dinh'!$A$14:$A$18,0)),0))</f>
        <v/>
      </c>
      <c r="F500" s="19" t="n"/>
      <c r="G500" s="19" t="n"/>
      <c r="H500" s="17">
        <f>IF(A500="","",TEXT(A500,"yyyy-mm"))</f>
        <v/>
      </c>
    </row>
    <row r="501">
      <c r="A501" s="22" t="n"/>
      <c r="B501" s="19" t="n"/>
      <c r="C501" s="19" t="n"/>
      <c r="D501" s="18">
        <f>IF(C501="","",IFERROR(INDEX('Quy dinh'!$B$14:$B$18,MATCH(C501,'Quy dinh'!$A$14:$A$18,0)),"Mã lỗi không hợp lệ"))</f>
        <v/>
      </c>
      <c r="E501" s="7">
        <f>IF(C501="","",IFERROR(INDEX('Quy dinh'!$C$14:$C$18,MATCH(C501,'Quy dinh'!$A$14:$A$18,0)),0))</f>
        <v/>
      </c>
      <c r="F501" s="19" t="n"/>
      <c r="G501" s="19" t="n"/>
      <c r="H501" s="17">
        <f>IF(A501="","",TEXT(A501,"yyyy-mm"))</f>
        <v/>
      </c>
    </row>
    <row r="502">
      <c r="A502" s="22" t="n"/>
      <c r="B502" s="19" t="n"/>
      <c r="C502" s="19" t="n"/>
      <c r="D502" s="18">
        <f>IF(C502="","",IFERROR(INDEX('Quy dinh'!$B$14:$B$18,MATCH(C502,'Quy dinh'!$A$14:$A$18,0)),"Mã lỗi không hợp lệ"))</f>
        <v/>
      </c>
      <c r="E502" s="7">
        <f>IF(C502="","",IFERROR(INDEX('Quy dinh'!$C$14:$C$18,MATCH(C502,'Quy dinh'!$A$14:$A$18,0)),0))</f>
        <v/>
      </c>
      <c r="F502" s="19" t="n"/>
      <c r="G502" s="19" t="n"/>
      <c r="H502" s="17">
        <f>IF(A502="","",TEXT(A502,"yyyy-mm"))</f>
        <v/>
      </c>
    </row>
    <row r="503">
      <c r="A503" s="22" t="n"/>
      <c r="B503" s="19" t="n"/>
      <c r="C503" s="19" t="n"/>
      <c r="D503" s="18">
        <f>IF(C503="","",IFERROR(INDEX('Quy dinh'!$B$14:$B$18,MATCH(C503,'Quy dinh'!$A$14:$A$18,0)),"Mã lỗi không hợp lệ"))</f>
        <v/>
      </c>
      <c r="E503" s="7">
        <f>IF(C503="","",IFERROR(INDEX('Quy dinh'!$C$14:$C$18,MATCH(C503,'Quy dinh'!$A$14:$A$18,0)),0))</f>
        <v/>
      </c>
      <c r="F503" s="19" t="n"/>
      <c r="G503" s="19" t="n"/>
      <c r="H503" s="17">
        <f>IF(A503="","",TEXT(A503,"yyyy-mm"))</f>
        <v/>
      </c>
    </row>
    <row r="504">
      <c r="A504" s="22" t="n"/>
      <c r="B504" s="19" t="n"/>
      <c r="C504" s="19" t="n"/>
      <c r="D504" s="18">
        <f>IF(C504="","",IFERROR(INDEX('Quy dinh'!$B$14:$B$18,MATCH(C504,'Quy dinh'!$A$14:$A$18,0)),"Mã lỗi không hợp lệ"))</f>
        <v/>
      </c>
      <c r="E504" s="7">
        <f>IF(C504="","",IFERROR(INDEX('Quy dinh'!$C$14:$C$18,MATCH(C504,'Quy dinh'!$A$14:$A$18,0)),0))</f>
        <v/>
      </c>
      <c r="F504" s="19" t="n"/>
      <c r="G504" s="19" t="n"/>
      <c r="H504" s="17">
        <f>IF(A504="","",TEXT(A504,"yyyy-mm"))</f>
        <v/>
      </c>
    </row>
  </sheetData>
  <dataValidations count="2">
    <dataValidation sqref="B5:B504" showDropDown="0" showInputMessage="0" showErrorMessage="0" allowBlank="1" error="Chọn tên trong &quot;Danh sach sale&quot;" type="list">
      <formula1>='Danh sach sale'!$A$5:$A$44</formula1>
    </dataValidation>
    <dataValidation sqref="C5:C504" showDropDown="0" showInputMessage="0" showErrorMessage="0" allowBlank="1" error="Mã lỗi từ 1 đến 5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  <col width="16" customWidth="1" min="5" max="5"/>
    <col width="40" customWidth="1" min="6" max="6"/>
    <col width="10" customWidth="1" min="7" max="7"/>
  </cols>
  <sheetData>
    <row r="1">
      <c r="A1" s="1" t="inlineStr">
        <is>
          <t>THƯỞNG NGÀY — SALE NHIỀU ĐƠN NHẤT TRONG NGÀY</t>
        </is>
      </c>
    </row>
    <row r="2">
      <c r="A2" s="2" t="inlineStr">
        <is>
          <t>Mỗi ngày ghi sale có nhiều đơn Base nhất (đếm theo NGƯỜI TẠO ĐƠN) + số đơn đó (không tính đổi trả, bảo hành, thay dây). Ngày có nhiều người bằng nhau → ghi mỗi người 1 dòng. Đủ tối thiểu thì tự ra tiền thưởng.</t>
        </is>
      </c>
    </row>
    <row r="4" ht="30" customHeight="1">
      <c r="A4" s="5" t="inlineStr">
        <is>
          <t>Ngày</t>
        </is>
      </c>
      <c r="B4" s="5" t="inlineStr">
        <is>
          <t>Sale đạt cao nhất</t>
        </is>
      </c>
      <c r="C4" s="5" t="inlineStr">
        <is>
          <t>Số đơn Base</t>
        </is>
      </c>
      <c r="D4" s="5" t="inlineStr">
        <is>
          <t>Đạt tối thiểu?</t>
        </is>
      </c>
      <c r="E4" s="5" t="inlineStr">
        <is>
          <t>Tiền thưởng (đ)</t>
        </is>
      </c>
      <c r="F4" s="5" t="inlineStr">
        <is>
          <t>Ghi chú</t>
        </is>
      </c>
      <c r="G4" s="5" t="inlineStr">
        <is>
          <t>Tháng</t>
        </is>
      </c>
    </row>
    <row r="5">
      <c r="A5" s="20" t="n">
        <v>46296</v>
      </c>
      <c r="B5" s="21" t="inlineStr">
        <is>
          <t>Sale A (ví dụ — thay bằng tên thật)</t>
        </is>
      </c>
      <c r="C5" s="21" t="n">
        <v>7</v>
      </c>
      <c r="D5" s="17">
        <f>IF(C5="","",IF(C5&gt;='Quy dinh'!$B$5,"Đạt","Chưa đủ"))</f>
        <v/>
      </c>
      <c r="E5" s="7">
        <f>IF(C5="","",IF(AND(B5&lt;&gt;"",C5&gt;='Quy dinh'!$B$5),'Quy dinh'!$B$6,0))</f>
        <v/>
      </c>
      <c r="F5" s="21" t="inlineStr">
        <is>
          <t>VÍ DỤ: xoá dòng này khi bắt đầu nhập thật</t>
        </is>
      </c>
      <c r="G5" s="17">
        <f>IF(A5="","",TEXT(A5,"yyyy-mm"))</f>
        <v/>
      </c>
    </row>
    <row r="6">
      <c r="A6" s="22" t="n"/>
      <c r="B6" s="19" t="n"/>
      <c r="C6" s="19" t="n"/>
      <c r="D6" s="17">
        <f>IF(C6="","",IF(C6&gt;='Quy dinh'!$B$5,"Đạt","Chưa đủ"))</f>
        <v/>
      </c>
      <c r="E6" s="7">
        <f>IF(C6="","",IF(AND(B6&lt;&gt;"",C6&gt;='Quy dinh'!$B$5),'Quy dinh'!$B$6,0))</f>
        <v/>
      </c>
      <c r="F6" s="19" t="n"/>
      <c r="G6" s="17">
        <f>IF(A6="","",TEXT(A6,"yyyy-mm"))</f>
        <v/>
      </c>
    </row>
    <row r="7">
      <c r="A7" s="22" t="n"/>
      <c r="B7" s="19" t="n"/>
      <c r="C7" s="19" t="n"/>
      <c r="D7" s="17">
        <f>IF(C7="","",IF(C7&gt;='Quy dinh'!$B$5,"Đạt","Chưa đủ"))</f>
        <v/>
      </c>
      <c r="E7" s="7">
        <f>IF(C7="","",IF(AND(B7&lt;&gt;"",C7&gt;='Quy dinh'!$B$5),'Quy dinh'!$B$6,0))</f>
        <v/>
      </c>
      <c r="F7" s="19" t="n"/>
      <c r="G7" s="17">
        <f>IF(A7="","",TEXT(A7,"yyyy-mm"))</f>
        <v/>
      </c>
    </row>
    <row r="8">
      <c r="A8" s="22" t="n"/>
      <c r="B8" s="19" t="n"/>
      <c r="C8" s="19" t="n"/>
      <c r="D8" s="17">
        <f>IF(C8="","",IF(C8&gt;='Quy dinh'!$B$5,"Đạt","Chưa đủ"))</f>
        <v/>
      </c>
      <c r="E8" s="7">
        <f>IF(C8="","",IF(AND(B8&lt;&gt;"",C8&gt;='Quy dinh'!$B$5),'Quy dinh'!$B$6,0))</f>
        <v/>
      </c>
      <c r="F8" s="19" t="n"/>
      <c r="G8" s="17">
        <f>IF(A8="","",TEXT(A8,"yyyy-mm"))</f>
        <v/>
      </c>
    </row>
    <row r="9">
      <c r="A9" s="22" t="n"/>
      <c r="B9" s="19" t="n"/>
      <c r="C9" s="19" t="n"/>
      <c r="D9" s="17">
        <f>IF(C9="","",IF(C9&gt;='Quy dinh'!$B$5,"Đạt","Chưa đủ"))</f>
        <v/>
      </c>
      <c r="E9" s="7">
        <f>IF(C9="","",IF(AND(B9&lt;&gt;"",C9&gt;='Quy dinh'!$B$5),'Quy dinh'!$B$6,0))</f>
        <v/>
      </c>
      <c r="F9" s="19" t="n"/>
      <c r="G9" s="17">
        <f>IF(A9="","",TEXT(A9,"yyyy-mm"))</f>
        <v/>
      </c>
    </row>
    <row r="10">
      <c r="A10" s="22" t="n"/>
      <c r="B10" s="19" t="n"/>
      <c r="C10" s="19" t="n"/>
      <c r="D10" s="17">
        <f>IF(C10="","",IF(C10&gt;='Quy dinh'!$B$5,"Đạt","Chưa đủ"))</f>
        <v/>
      </c>
      <c r="E10" s="7">
        <f>IF(C10="","",IF(AND(B10&lt;&gt;"",C10&gt;='Quy dinh'!$B$5),'Quy dinh'!$B$6,0))</f>
        <v/>
      </c>
      <c r="F10" s="19" t="n"/>
      <c r="G10" s="17">
        <f>IF(A10="","",TEXT(A10,"yyyy-mm"))</f>
        <v/>
      </c>
    </row>
    <row r="11">
      <c r="A11" s="22" t="n"/>
      <c r="B11" s="19" t="n"/>
      <c r="C11" s="19" t="n"/>
      <c r="D11" s="17">
        <f>IF(C11="","",IF(C11&gt;='Quy dinh'!$B$5,"Đạt","Chưa đủ"))</f>
        <v/>
      </c>
      <c r="E11" s="7">
        <f>IF(C11="","",IF(AND(B11&lt;&gt;"",C11&gt;='Quy dinh'!$B$5),'Quy dinh'!$B$6,0))</f>
        <v/>
      </c>
      <c r="F11" s="19" t="n"/>
      <c r="G11" s="17">
        <f>IF(A11="","",TEXT(A11,"yyyy-mm"))</f>
        <v/>
      </c>
    </row>
    <row r="12">
      <c r="A12" s="22" t="n"/>
      <c r="B12" s="19" t="n"/>
      <c r="C12" s="19" t="n"/>
      <c r="D12" s="17">
        <f>IF(C12="","",IF(C12&gt;='Quy dinh'!$B$5,"Đạt","Chưa đủ"))</f>
        <v/>
      </c>
      <c r="E12" s="7">
        <f>IF(C12="","",IF(AND(B12&lt;&gt;"",C12&gt;='Quy dinh'!$B$5),'Quy dinh'!$B$6,0))</f>
        <v/>
      </c>
      <c r="F12" s="19" t="n"/>
      <c r="G12" s="17">
        <f>IF(A12="","",TEXT(A12,"yyyy-mm"))</f>
        <v/>
      </c>
    </row>
    <row r="13">
      <c r="A13" s="22" t="n"/>
      <c r="B13" s="19" t="n"/>
      <c r="C13" s="19" t="n"/>
      <c r="D13" s="17">
        <f>IF(C13="","",IF(C13&gt;='Quy dinh'!$B$5,"Đạt","Chưa đủ"))</f>
        <v/>
      </c>
      <c r="E13" s="7">
        <f>IF(C13="","",IF(AND(B13&lt;&gt;"",C13&gt;='Quy dinh'!$B$5),'Quy dinh'!$B$6,0))</f>
        <v/>
      </c>
      <c r="F13" s="19" t="n"/>
      <c r="G13" s="17">
        <f>IF(A13="","",TEXT(A13,"yyyy-mm"))</f>
        <v/>
      </c>
    </row>
    <row r="14">
      <c r="A14" s="22" t="n"/>
      <c r="B14" s="19" t="n"/>
      <c r="C14" s="19" t="n"/>
      <c r="D14" s="17">
        <f>IF(C14="","",IF(C14&gt;='Quy dinh'!$B$5,"Đạt","Chưa đủ"))</f>
        <v/>
      </c>
      <c r="E14" s="7">
        <f>IF(C14="","",IF(AND(B14&lt;&gt;"",C14&gt;='Quy dinh'!$B$5),'Quy dinh'!$B$6,0))</f>
        <v/>
      </c>
      <c r="F14" s="19" t="n"/>
      <c r="G14" s="17">
        <f>IF(A14="","",TEXT(A14,"yyyy-mm"))</f>
        <v/>
      </c>
    </row>
    <row r="15">
      <c r="A15" s="22" t="n"/>
      <c r="B15" s="19" t="n"/>
      <c r="C15" s="19" t="n"/>
      <c r="D15" s="17">
        <f>IF(C15="","",IF(C15&gt;='Quy dinh'!$B$5,"Đạt","Chưa đủ"))</f>
        <v/>
      </c>
      <c r="E15" s="7">
        <f>IF(C15="","",IF(AND(B15&lt;&gt;"",C15&gt;='Quy dinh'!$B$5),'Quy dinh'!$B$6,0))</f>
        <v/>
      </c>
      <c r="F15" s="19" t="n"/>
      <c r="G15" s="17">
        <f>IF(A15="","",TEXT(A15,"yyyy-mm"))</f>
        <v/>
      </c>
    </row>
    <row r="16">
      <c r="A16" s="22" t="n"/>
      <c r="B16" s="19" t="n"/>
      <c r="C16" s="19" t="n"/>
      <c r="D16" s="17">
        <f>IF(C16="","",IF(C16&gt;='Quy dinh'!$B$5,"Đạt","Chưa đủ"))</f>
        <v/>
      </c>
      <c r="E16" s="7">
        <f>IF(C16="","",IF(AND(B16&lt;&gt;"",C16&gt;='Quy dinh'!$B$5),'Quy dinh'!$B$6,0))</f>
        <v/>
      </c>
      <c r="F16" s="19" t="n"/>
      <c r="G16" s="17">
        <f>IF(A16="","",TEXT(A16,"yyyy-mm"))</f>
        <v/>
      </c>
    </row>
    <row r="17">
      <c r="A17" s="22" t="n"/>
      <c r="B17" s="19" t="n"/>
      <c r="C17" s="19" t="n"/>
      <c r="D17" s="17">
        <f>IF(C17="","",IF(C17&gt;='Quy dinh'!$B$5,"Đạt","Chưa đủ"))</f>
        <v/>
      </c>
      <c r="E17" s="7">
        <f>IF(C17="","",IF(AND(B17&lt;&gt;"",C17&gt;='Quy dinh'!$B$5),'Quy dinh'!$B$6,0))</f>
        <v/>
      </c>
      <c r="F17" s="19" t="n"/>
      <c r="G17" s="17">
        <f>IF(A17="","",TEXT(A17,"yyyy-mm"))</f>
        <v/>
      </c>
    </row>
    <row r="18">
      <c r="A18" s="22" t="n"/>
      <c r="B18" s="19" t="n"/>
      <c r="C18" s="19" t="n"/>
      <c r="D18" s="17">
        <f>IF(C18="","",IF(C18&gt;='Quy dinh'!$B$5,"Đạt","Chưa đủ"))</f>
        <v/>
      </c>
      <c r="E18" s="7">
        <f>IF(C18="","",IF(AND(B18&lt;&gt;"",C18&gt;='Quy dinh'!$B$5),'Quy dinh'!$B$6,0))</f>
        <v/>
      </c>
      <c r="F18" s="19" t="n"/>
      <c r="G18" s="17">
        <f>IF(A18="","",TEXT(A18,"yyyy-mm"))</f>
        <v/>
      </c>
    </row>
    <row r="19">
      <c r="A19" s="22" t="n"/>
      <c r="B19" s="19" t="n"/>
      <c r="C19" s="19" t="n"/>
      <c r="D19" s="17">
        <f>IF(C19="","",IF(C19&gt;='Quy dinh'!$B$5,"Đạt","Chưa đủ"))</f>
        <v/>
      </c>
      <c r="E19" s="7">
        <f>IF(C19="","",IF(AND(B19&lt;&gt;"",C19&gt;='Quy dinh'!$B$5),'Quy dinh'!$B$6,0))</f>
        <v/>
      </c>
      <c r="F19" s="19" t="n"/>
      <c r="G19" s="17">
        <f>IF(A19="","",TEXT(A19,"yyyy-mm"))</f>
        <v/>
      </c>
    </row>
    <row r="20">
      <c r="A20" s="22" t="n"/>
      <c r="B20" s="19" t="n"/>
      <c r="C20" s="19" t="n"/>
      <c r="D20" s="17">
        <f>IF(C20="","",IF(C20&gt;='Quy dinh'!$B$5,"Đạt","Chưa đủ"))</f>
        <v/>
      </c>
      <c r="E20" s="7">
        <f>IF(C20="","",IF(AND(B20&lt;&gt;"",C20&gt;='Quy dinh'!$B$5),'Quy dinh'!$B$6,0))</f>
        <v/>
      </c>
      <c r="F20" s="19" t="n"/>
      <c r="G20" s="17">
        <f>IF(A20="","",TEXT(A20,"yyyy-mm"))</f>
        <v/>
      </c>
    </row>
    <row r="21">
      <c r="A21" s="22" t="n"/>
      <c r="B21" s="19" t="n"/>
      <c r="C21" s="19" t="n"/>
      <c r="D21" s="17">
        <f>IF(C21="","",IF(C21&gt;='Quy dinh'!$B$5,"Đạt","Chưa đủ"))</f>
        <v/>
      </c>
      <c r="E21" s="7">
        <f>IF(C21="","",IF(AND(B21&lt;&gt;"",C21&gt;='Quy dinh'!$B$5),'Quy dinh'!$B$6,0))</f>
        <v/>
      </c>
      <c r="F21" s="19" t="n"/>
      <c r="G21" s="17">
        <f>IF(A21="","",TEXT(A21,"yyyy-mm"))</f>
        <v/>
      </c>
    </row>
    <row r="22">
      <c r="A22" s="22" t="n"/>
      <c r="B22" s="19" t="n"/>
      <c r="C22" s="19" t="n"/>
      <c r="D22" s="17">
        <f>IF(C22="","",IF(C22&gt;='Quy dinh'!$B$5,"Đạt","Chưa đủ"))</f>
        <v/>
      </c>
      <c r="E22" s="7">
        <f>IF(C22="","",IF(AND(B22&lt;&gt;"",C22&gt;='Quy dinh'!$B$5),'Quy dinh'!$B$6,0))</f>
        <v/>
      </c>
      <c r="F22" s="19" t="n"/>
      <c r="G22" s="17">
        <f>IF(A22="","",TEXT(A22,"yyyy-mm"))</f>
        <v/>
      </c>
    </row>
    <row r="23">
      <c r="A23" s="22" t="n"/>
      <c r="B23" s="19" t="n"/>
      <c r="C23" s="19" t="n"/>
      <c r="D23" s="17">
        <f>IF(C23="","",IF(C23&gt;='Quy dinh'!$B$5,"Đạt","Chưa đủ"))</f>
        <v/>
      </c>
      <c r="E23" s="7">
        <f>IF(C23="","",IF(AND(B23&lt;&gt;"",C23&gt;='Quy dinh'!$B$5),'Quy dinh'!$B$6,0))</f>
        <v/>
      </c>
      <c r="F23" s="19" t="n"/>
      <c r="G23" s="17">
        <f>IF(A23="","",TEXT(A23,"yyyy-mm"))</f>
        <v/>
      </c>
    </row>
    <row r="24">
      <c r="A24" s="22" t="n"/>
      <c r="B24" s="19" t="n"/>
      <c r="C24" s="19" t="n"/>
      <c r="D24" s="17">
        <f>IF(C24="","",IF(C24&gt;='Quy dinh'!$B$5,"Đạt","Chưa đủ"))</f>
        <v/>
      </c>
      <c r="E24" s="7">
        <f>IF(C24="","",IF(AND(B24&lt;&gt;"",C24&gt;='Quy dinh'!$B$5),'Quy dinh'!$B$6,0))</f>
        <v/>
      </c>
      <c r="F24" s="19" t="n"/>
      <c r="G24" s="17">
        <f>IF(A24="","",TEXT(A24,"yyyy-mm"))</f>
        <v/>
      </c>
    </row>
    <row r="25">
      <c r="A25" s="22" t="n"/>
      <c r="B25" s="19" t="n"/>
      <c r="C25" s="19" t="n"/>
      <c r="D25" s="17">
        <f>IF(C25="","",IF(C25&gt;='Quy dinh'!$B$5,"Đạt","Chưa đủ"))</f>
        <v/>
      </c>
      <c r="E25" s="7">
        <f>IF(C25="","",IF(AND(B25&lt;&gt;"",C25&gt;='Quy dinh'!$B$5),'Quy dinh'!$B$6,0))</f>
        <v/>
      </c>
      <c r="F25" s="19" t="n"/>
      <c r="G25" s="17">
        <f>IF(A25="","",TEXT(A25,"yyyy-mm"))</f>
        <v/>
      </c>
    </row>
    <row r="26">
      <c r="A26" s="22" t="n"/>
      <c r="B26" s="19" t="n"/>
      <c r="C26" s="19" t="n"/>
      <c r="D26" s="17">
        <f>IF(C26="","",IF(C26&gt;='Quy dinh'!$B$5,"Đạt","Chưa đủ"))</f>
        <v/>
      </c>
      <c r="E26" s="7">
        <f>IF(C26="","",IF(AND(B26&lt;&gt;"",C26&gt;='Quy dinh'!$B$5),'Quy dinh'!$B$6,0))</f>
        <v/>
      </c>
      <c r="F26" s="19" t="n"/>
      <c r="G26" s="17">
        <f>IF(A26="","",TEXT(A26,"yyyy-mm"))</f>
        <v/>
      </c>
    </row>
    <row r="27">
      <c r="A27" s="22" t="n"/>
      <c r="B27" s="19" t="n"/>
      <c r="C27" s="19" t="n"/>
      <c r="D27" s="17">
        <f>IF(C27="","",IF(C27&gt;='Quy dinh'!$B$5,"Đạt","Chưa đủ"))</f>
        <v/>
      </c>
      <c r="E27" s="7">
        <f>IF(C27="","",IF(AND(B27&lt;&gt;"",C27&gt;='Quy dinh'!$B$5),'Quy dinh'!$B$6,0))</f>
        <v/>
      </c>
      <c r="F27" s="19" t="n"/>
      <c r="G27" s="17">
        <f>IF(A27="","",TEXT(A27,"yyyy-mm"))</f>
        <v/>
      </c>
    </row>
    <row r="28">
      <c r="A28" s="22" t="n"/>
      <c r="B28" s="19" t="n"/>
      <c r="C28" s="19" t="n"/>
      <c r="D28" s="17">
        <f>IF(C28="","",IF(C28&gt;='Quy dinh'!$B$5,"Đạt","Chưa đủ"))</f>
        <v/>
      </c>
      <c r="E28" s="7">
        <f>IF(C28="","",IF(AND(B28&lt;&gt;"",C28&gt;='Quy dinh'!$B$5),'Quy dinh'!$B$6,0))</f>
        <v/>
      </c>
      <c r="F28" s="19" t="n"/>
      <c r="G28" s="17">
        <f>IF(A28="","",TEXT(A28,"yyyy-mm"))</f>
        <v/>
      </c>
    </row>
    <row r="29">
      <c r="A29" s="22" t="n"/>
      <c r="B29" s="19" t="n"/>
      <c r="C29" s="19" t="n"/>
      <c r="D29" s="17">
        <f>IF(C29="","",IF(C29&gt;='Quy dinh'!$B$5,"Đạt","Chưa đủ"))</f>
        <v/>
      </c>
      <c r="E29" s="7">
        <f>IF(C29="","",IF(AND(B29&lt;&gt;"",C29&gt;='Quy dinh'!$B$5),'Quy dinh'!$B$6,0))</f>
        <v/>
      </c>
      <c r="F29" s="19" t="n"/>
      <c r="G29" s="17">
        <f>IF(A29="","",TEXT(A29,"yyyy-mm"))</f>
        <v/>
      </c>
    </row>
    <row r="30">
      <c r="A30" s="22" t="n"/>
      <c r="B30" s="19" t="n"/>
      <c r="C30" s="19" t="n"/>
      <c r="D30" s="17">
        <f>IF(C30="","",IF(C30&gt;='Quy dinh'!$B$5,"Đạt","Chưa đủ"))</f>
        <v/>
      </c>
      <c r="E30" s="7">
        <f>IF(C30="","",IF(AND(B30&lt;&gt;"",C30&gt;='Quy dinh'!$B$5),'Quy dinh'!$B$6,0))</f>
        <v/>
      </c>
      <c r="F30" s="19" t="n"/>
      <c r="G30" s="17">
        <f>IF(A30="","",TEXT(A30,"yyyy-mm"))</f>
        <v/>
      </c>
    </row>
    <row r="31">
      <c r="A31" s="22" t="n"/>
      <c r="B31" s="19" t="n"/>
      <c r="C31" s="19" t="n"/>
      <c r="D31" s="17">
        <f>IF(C31="","",IF(C31&gt;='Quy dinh'!$B$5,"Đạt","Chưa đủ"))</f>
        <v/>
      </c>
      <c r="E31" s="7">
        <f>IF(C31="","",IF(AND(B31&lt;&gt;"",C31&gt;='Quy dinh'!$B$5),'Quy dinh'!$B$6,0))</f>
        <v/>
      </c>
      <c r="F31" s="19" t="n"/>
      <c r="G31" s="17">
        <f>IF(A31="","",TEXT(A31,"yyyy-mm"))</f>
        <v/>
      </c>
    </row>
    <row r="32">
      <c r="A32" s="22" t="n"/>
      <c r="B32" s="19" t="n"/>
      <c r="C32" s="19" t="n"/>
      <c r="D32" s="17">
        <f>IF(C32="","",IF(C32&gt;='Quy dinh'!$B$5,"Đạt","Chưa đủ"))</f>
        <v/>
      </c>
      <c r="E32" s="7">
        <f>IF(C32="","",IF(AND(B32&lt;&gt;"",C32&gt;='Quy dinh'!$B$5),'Quy dinh'!$B$6,0))</f>
        <v/>
      </c>
      <c r="F32" s="19" t="n"/>
      <c r="G32" s="17">
        <f>IF(A32="","",TEXT(A32,"yyyy-mm"))</f>
        <v/>
      </c>
    </row>
    <row r="33">
      <c r="A33" s="22" t="n"/>
      <c r="B33" s="19" t="n"/>
      <c r="C33" s="19" t="n"/>
      <c r="D33" s="17">
        <f>IF(C33="","",IF(C33&gt;='Quy dinh'!$B$5,"Đạt","Chưa đủ"))</f>
        <v/>
      </c>
      <c r="E33" s="7">
        <f>IF(C33="","",IF(AND(B33&lt;&gt;"",C33&gt;='Quy dinh'!$B$5),'Quy dinh'!$B$6,0))</f>
        <v/>
      </c>
      <c r="F33" s="19" t="n"/>
      <c r="G33" s="17">
        <f>IF(A33="","",TEXT(A33,"yyyy-mm"))</f>
        <v/>
      </c>
    </row>
    <row r="34">
      <c r="A34" s="22" t="n"/>
      <c r="B34" s="19" t="n"/>
      <c r="C34" s="19" t="n"/>
      <c r="D34" s="17">
        <f>IF(C34="","",IF(C34&gt;='Quy dinh'!$B$5,"Đạt","Chưa đủ"))</f>
        <v/>
      </c>
      <c r="E34" s="7">
        <f>IF(C34="","",IF(AND(B34&lt;&gt;"",C34&gt;='Quy dinh'!$B$5),'Quy dinh'!$B$6,0))</f>
        <v/>
      </c>
      <c r="F34" s="19" t="n"/>
      <c r="G34" s="17">
        <f>IF(A34="","",TEXT(A34,"yyyy-mm"))</f>
        <v/>
      </c>
    </row>
    <row r="35">
      <c r="A35" s="22" t="n"/>
      <c r="B35" s="19" t="n"/>
      <c r="C35" s="19" t="n"/>
      <c r="D35" s="17">
        <f>IF(C35="","",IF(C35&gt;='Quy dinh'!$B$5,"Đạt","Chưa đủ"))</f>
        <v/>
      </c>
      <c r="E35" s="7">
        <f>IF(C35="","",IF(AND(B35&lt;&gt;"",C35&gt;='Quy dinh'!$B$5),'Quy dinh'!$B$6,0))</f>
        <v/>
      </c>
      <c r="F35" s="19" t="n"/>
      <c r="G35" s="17">
        <f>IF(A35="","",TEXT(A35,"yyyy-mm"))</f>
        <v/>
      </c>
    </row>
    <row r="36">
      <c r="A36" s="22" t="n"/>
      <c r="B36" s="19" t="n"/>
      <c r="C36" s="19" t="n"/>
      <c r="D36" s="17">
        <f>IF(C36="","",IF(C36&gt;='Quy dinh'!$B$5,"Đạt","Chưa đủ"))</f>
        <v/>
      </c>
      <c r="E36" s="7">
        <f>IF(C36="","",IF(AND(B36&lt;&gt;"",C36&gt;='Quy dinh'!$B$5),'Quy dinh'!$B$6,0))</f>
        <v/>
      </c>
      <c r="F36" s="19" t="n"/>
      <c r="G36" s="17">
        <f>IF(A36="","",TEXT(A36,"yyyy-mm"))</f>
        <v/>
      </c>
    </row>
    <row r="37">
      <c r="A37" s="22" t="n"/>
      <c r="B37" s="19" t="n"/>
      <c r="C37" s="19" t="n"/>
      <c r="D37" s="17">
        <f>IF(C37="","",IF(C37&gt;='Quy dinh'!$B$5,"Đạt","Chưa đủ"))</f>
        <v/>
      </c>
      <c r="E37" s="7">
        <f>IF(C37="","",IF(AND(B37&lt;&gt;"",C37&gt;='Quy dinh'!$B$5),'Quy dinh'!$B$6,0))</f>
        <v/>
      </c>
      <c r="F37" s="19" t="n"/>
      <c r="G37" s="17">
        <f>IF(A37="","",TEXT(A37,"yyyy-mm"))</f>
        <v/>
      </c>
    </row>
    <row r="38">
      <c r="A38" s="22" t="n"/>
      <c r="B38" s="19" t="n"/>
      <c r="C38" s="19" t="n"/>
      <c r="D38" s="17">
        <f>IF(C38="","",IF(C38&gt;='Quy dinh'!$B$5,"Đạt","Chưa đủ"))</f>
        <v/>
      </c>
      <c r="E38" s="7">
        <f>IF(C38="","",IF(AND(B38&lt;&gt;"",C38&gt;='Quy dinh'!$B$5),'Quy dinh'!$B$6,0))</f>
        <v/>
      </c>
      <c r="F38" s="19" t="n"/>
      <c r="G38" s="17">
        <f>IF(A38="","",TEXT(A38,"yyyy-mm"))</f>
        <v/>
      </c>
    </row>
    <row r="39">
      <c r="A39" s="22" t="n"/>
      <c r="B39" s="19" t="n"/>
      <c r="C39" s="19" t="n"/>
      <c r="D39" s="17">
        <f>IF(C39="","",IF(C39&gt;='Quy dinh'!$B$5,"Đạt","Chưa đủ"))</f>
        <v/>
      </c>
      <c r="E39" s="7">
        <f>IF(C39="","",IF(AND(B39&lt;&gt;"",C39&gt;='Quy dinh'!$B$5),'Quy dinh'!$B$6,0))</f>
        <v/>
      </c>
      <c r="F39" s="19" t="n"/>
      <c r="G39" s="17">
        <f>IF(A39="","",TEXT(A39,"yyyy-mm"))</f>
        <v/>
      </c>
    </row>
    <row r="40">
      <c r="A40" s="22" t="n"/>
      <c r="B40" s="19" t="n"/>
      <c r="C40" s="19" t="n"/>
      <c r="D40" s="17">
        <f>IF(C40="","",IF(C40&gt;='Quy dinh'!$B$5,"Đạt","Chưa đủ"))</f>
        <v/>
      </c>
      <c r="E40" s="7">
        <f>IF(C40="","",IF(AND(B40&lt;&gt;"",C40&gt;='Quy dinh'!$B$5),'Quy dinh'!$B$6,0))</f>
        <v/>
      </c>
      <c r="F40" s="19" t="n"/>
      <c r="G40" s="17">
        <f>IF(A40="","",TEXT(A40,"yyyy-mm"))</f>
        <v/>
      </c>
    </row>
    <row r="41">
      <c r="A41" s="22" t="n"/>
      <c r="B41" s="19" t="n"/>
      <c r="C41" s="19" t="n"/>
      <c r="D41" s="17">
        <f>IF(C41="","",IF(C41&gt;='Quy dinh'!$B$5,"Đạt","Chưa đủ"))</f>
        <v/>
      </c>
      <c r="E41" s="7">
        <f>IF(C41="","",IF(AND(B41&lt;&gt;"",C41&gt;='Quy dinh'!$B$5),'Quy dinh'!$B$6,0))</f>
        <v/>
      </c>
      <c r="F41" s="19" t="n"/>
      <c r="G41" s="17">
        <f>IF(A41="","",TEXT(A41,"yyyy-mm"))</f>
        <v/>
      </c>
    </row>
    <row r="42">
      <c r="A42" s="22" t="n"/>
      <c r="B42" s="19" t="n"/>
      <c r="C42" s="19" t="n"/>
      <c r="D42" s="17">
        <f>IF(C42="","",IF(C42&gt;='Quy dinh'!$B$5,"Đạt","Chưa đủ"))</f>
        <v/>
      </c>
      <c r="E42" s="7">
        <f>IF(C42="","",IF(AND(B42&lt;&gt;"",C42&gt;='Quy dinh'!$B$5),'Quy dinh'!$B$6,0))</f>
        <v/>
      </c>
      <c r="F42" s="19" t="n"/>
      <c r="G42" s="17">
        <f>IF(A42="","",TEXT(A42,"yyyy-mm"))</f>
        <v/>
      </c>
    </row>
    <row r="43">
      <c r="A43" s="22" t="n"/>
      <c r="B43" s="19" t="n"/>
      <c r="C43" s="19" t="n"/>
      <c r="D43" s="17">
        <f>IF(C43="","",IF(C43&gt;='Quy dinh'!$B$5,"Đạt","Chưa đủ"))</f>
        <v/>
      </c>
      <c r="E43" s="7">
        <f>IF(C43="","",IF(AND(B43&lt;&gt;"",C43&gt;='Quy dinh'!$B$5),'Quy dinh'!$B$6,0))</f>
        <v/>
      </c>
      <c r="F43" s="19" t="n"/>
      <c r="G43" s="17">
        <f>IF(A43="","",TEXT(A43,"yyyy-mm"))</f>
        <v/>
      </c>
    </row>
    <row r="44">
      <c r="A44" s="22" t="n"/>
      <c r="B44" s="19" t="n"/>
      <c r="C44" s="19" t="n"/>
      <c r="D44" s="17">
        <f>IF(C44="","",IF(C44&gt;='Quy dinh'!$B$5,"Đạt","Chưa đủ"))</f>
        <v/>
      </c>
      <c r="E44" s="7">
        <f>IF(C44="","",IF(AND(B44&lt;&gt;"",C44&gt;='Quy dinh'!$B$5),'Quy dinh'!$B$6,0))</f>
        <v/>
      </c>
      <c r="F44" s="19" t="n"/>
      <c r="G44" s="17">
        <f>IF(A44="","",TEXT(A44,"yyyy-mm"))</f>
        <v/>
      </c>
    </row>
    <row r="45">
      <c r="A45" s="22" t="n"/>
      <c r="B45" s="19" t="n"/>
      <c r="C45" s="19" t="n"/>
      <c r="D45" s="17">
        <f>IF(C45="","",IF(C45&gt;='Quy dinh'!$B$5,"Đạt","Chưa đủ"))</f>
        <v/>
      </c>
      <c r="E45" s="7">
        <f>IF(C45="","",IF(AND(B45&lt;&gt;"",C45&gt;='Quy dinh'!$B$5),'Quy dinh'!$B$6,0))</f>
        <v/>
      </c>
      <c r="F45" s="19" t="n"/>
      <c r="G45" s="17">
        <f>IF(A45="","",TEXT(A45,"yyyy-mm"))</f>
        <v/>
      </c>
    </row>
    <row r="46">
      <c r="A46" s="22" t="n"/>
      <c r="B46" s="19" t="n"/>
      <c r="C46" s="19" t="n"/>
      <c r="D46" s="17">
        <f>IF(C46="","",IF(C46&gt;='Quy dinh'!$B$5,"Đạt","Chưa đủ"))</f>
        <v/>
      </c>
      <c r="E46" s="7">
        <f>IF(C46="","",IF(AND(B46&lt;&gt;"",C46&gt;='Quy dinh'!$B$5),'Quy dinh'!$B$6,0))</f>
        <v/>
      </c>
      <c r="F46" s="19" t="n"/>
      <c r="G46" s="17">
        <f>IF(A46="","",TEXT(A46,"yyyy-mm"))</f>
        <v/>
      </c>
    </row>
    <row r="47">
      <c r="A47" s="22" t="n"/>
      <c r="B47" s="19" t="n"/>
      <c r="C47" s="19" t="n"/>
      <c r="D47" s="17">
        <f>IF(C47="","",IF(C47&gt;='Quy dinh'!$B$5,"Đạt","Chưa đủ"))</f>
        <v/>
      </c>
      <c r="E47" s="7">
        <f>IF(C47="","",IF(AND(B47&lt;&gt;"",C47&gt;='Quy dinh'!$B$5),'Quy dinh'!$B$6,0))</f>
        <v/>
      </c>
      <c r="F47" s="19" t="n"/>
      <c r="G47" s="17">
        <f>IF(A47="","",TEXT(A47,"yyyy-mm"))</f>
        <v/>
      </c>
    </row>
    <row r="48">
      <c r="A48" s="22" t="n"/>
      <c r="B48" s="19" t="n"/>
      <c r="C48" s="19" t="n"/>
      <c r="D48" s="17">
        <f>IF(C48="","",IF(C48&gt;='Quy dinh'!$B$5,"Đạt","Chưa đủ"))</f>
        <v/>
      </c>
      <c r="E48" s="7">
        <f>IF(C48="","",IF(AND(B48&lt;&gt;"",C48&gt;='Quy dinh'!$B$5),'Quy dinh'!$B$6,0))</f>
        <v/>
      </c>
      <c r="F48" s="19" t="n"/>
      <c r="G48" s="17">
        <f>IF(A48="","",TEXT(A48,"yyyy-mm"))</f>
        <v/>
      </c>
    </row>
    <row r="49">
      <c r="A49" s="22" t="n"/>
      <c r="B49" s="19" t="n"/>
      <c r="C49" s="19" t="n"/>
      <c r="D49" s="17">
        <f>IF(C49="","",IF(C49&gt;='Quy dinh'!$B$5,"Đạt","Chưa đủ"))</f>
        <v/>
      </c>
      <c r="E49" s="7">
        <f>IF(C49="","",IF(AND(B49&lt;&gt;"",C49&gt;='Quy dinh'!$B$5),'Quy dinh'!$B$6,0))</f>
        <v/>
      </c>
      <c r="F49" s="19" t="n"/>
      <c r="G49" s="17">
        <f>IF(A49="","",TEXT(A49,"yyyy-mm"))</f>
        <v/>
      </c>
    </row>
    <row r="50">
      <c r="A50" s="22" t="n"/>
      <c r="B50" s="19" t="n"/>
      <c r="C50" s="19" t="n"/>
      <c r="D50" s="17">
        <f>IF(C50="","",IF(C50&gt;='Quy dinh'!$B$5,"Đạt","Chưa đủ"))</f>
        <v/>
      </c>
      <c r="E50" s="7">
        <f>IF(C50="","",IF(AND(B50&lt;&gt;"",C50&gt;='Quy dinh'!$B$5),'Quy dinh'!$B$6,0))</f>
        <v/>
      </c>
      <c r="F50" s="19" t="n"/>
      <c r="G50" s="17">
        <f>IF(A50="","",TEXT(A50,"yyyy-mm"))</f>
        <v/>
      </c>
    </row>
    <row r="51">
      <c r="A51" s="22" t="n"/>
      <c r="B51" s="19" t="n"/>
      <c r="C51" s="19" t="n"/>
      <c r="D51" s="17">
        <f>IF(C51="","",IF(C51&gt;='Quy dinh'!$B$5,"Đạt","Chưa đủ"))</f>
        <v/>
      </c>
      <c r="E51" s="7">
        <f>IF(C51="","",IF(AND(B51&lt;&gt;"",C51&gt;='Quy dinh'!$B$5),'Quy dinh'!$B$6,0))</f>
        <v/>
      </c>
      <c r="F51" s="19" t="n"/>
      <c r="G51" s="17">
        <f>IF(A51="","",TEXT(A51,"yyyy-mm"))</f>
        <v/>
      </c>
    </row>
    <row r="52">
      <c r="A52" s="22" t="n"/>
      <c r="B52" s="19" t="n"/>
      <c r="C52" s="19" t="n"/>
      <c r="D52" s="17">
        <f>IF(C52="","",IF(C52&gt;='Quy dinh'!$B$5,"Đạt","Chưa đủ"))</f>
        <v/>
      </c>
      <c r="E52" s="7">
        <f>IF(C52="","",IF(AND(B52&lt;&gt;"",C52&gt;='Quy dinh'!$B$5),'Quy dinh'!$B$6,0))</f>
        <v/>
      </c>
      <c r="F52" s="19" t="n"/>
      <c r="G52" s="17">
        <f>IF(A52="","",TEXT(A52,"yyyy-mm"))</f>
        <v/>
      </c>
    </row>
    <row r="53">
      <c r="A53" s="22" t="n"/>
      <c r="B53" s="19" t="n"/>
      <c r="C53" s="19" t="n"/>
      <c r="D53" s="17">
        <f>IF(C53="","",IF(C53&gt;='Quy dinh'!$B$5,"Đạt","Chưa đủ"))</f>
        <v/>
      </c>
      <c r="E53" s="7">
        <f>IF(C53="","",IF(AND(B53&lt;&gt;"",C53&gt;='Quy dinh'!$B$5),'Quy dinh'!$B$6,0))</f>
        <v/>
      </c>
      <c r="F53" s="19" t="n"/>
      <c r="G53" s="17">
        <f>IF(A53="","",TEXT(A53,"yyyy-mm"))</f>
        <v/>
      </c>
    </row>
    <row r="54">
      <c r="A54" s="22" t="n"/>
      <c r="B54" s="19" t="n"/>
      <c r="C54" s="19" t="n"/>
      <c r="D54" s="17">
        <f>IF(C54="","",IF(C54&gt;='Quy dinh'!$B$5,"Đạt","Chưa đủ"))</f>
        <v/>
      </c>
      <c r="E54" s="7">
        <f>IF(C54="","",IF(AND(B54&lt;&gt;"",C54&gt;='Quy dinh'!$B$5),'Quy dinh'!$B$6,0))</f>
        <v/>
      </c>
      <c r="F54" s="19" t="n"/>
      <c r="G54" s="17">
        <f>IF(A54="","",TEXT(A54,"yyyy-mm"))</f>
        <v/>
      </c>
    </row>
    <row r="55">
      <c r="A55" s="22" t="n"/>
      <c r="B55" s="19" t="n"/>
      <c r="C55" s="19" t="n"/>
      <c r="D55" s="17">
        <f>IF(C55="","",IF(C55&gt;='Quy dinh'!$B$5,"Đạt","Chưa đủ"))</f>
        <v/>
      </c>
      <c r="E55" s="7">
        <f>IF(C55="","",IF(AND(B55&lt;&gt;"",C55&gt;='Quy dinh'!$B$5),'Quy dinh'!$B$6,0))</f>
        <v/>
      </c>
      <c r="F55" s="19" t="n"/>
      <c r="G55" s="17">
        <f>IF(A55="","",TEXT(A55,"yyyy-mm"))</f>
        <v/>
      </c>
    </row>
    <row r="56">
      <c r="A56" s="22" t="n"/>
      <c r="B56" s="19" t="n"/>
      <c r="C56" s="19" t="n"/>
      <c r="D56" s="17">
        <f>IF(C56="","",IF(C56&gt;='Quy dinh'!$B$5,"Đạt","Chưa đủ"))</f>
        <v/>
      </c>
      <c r="E56" s="7">
        <f>IF(C56="","",IF(AND(B56&lt;&gt;"",C56&gt;='Quy dinh'!$B$5),'Quy dinh'!$B$6,0))</f>
        <v/>
      </c>
      <c r="F56" s="19" t="n"/>
      <c r="G56" s="17">
        <f>IF(A56="","",TEXT(A56,"yyyy-mm"))</f>
        <v/>
      </c>
    </row>
    <row r="57">
      <c r="A57" s="22" t="n"/>
      <c r="B57" s="19" t="n"/>
      <c r="C57" s="19" t="n"/>
      <c r="D57" s="17">
        <f>IF(C57="","",IF(C57&gt;='Quy dinh'!$B$5,"Đạt","Chưa đủ"))</f>
        <v/>
      </c>
      <c r="E57" s="7">
        <f>IF(C57="","",IF(AND(B57&lt;&gt;"",C57&gt;='Quy dinh'!$B$5),'Quy dinh'!$B$6,0))</f>
        <v/>
      </c>
      <c r="F57" s="19" t="n"/>
      <c r="G57" s="17">
        <f>IF(A57="","",TEXT(A57,"yyyy-mm"))</f>
        <v/>
      </c>
    </row>
    <row r="58">
      <c r="A58" s="22" t="n"/>
      <c r="B58" s="19" t="n"/>
      <c r="C58" s="19" t="n"/>
      <c r="D58" s="17">
        <f>IF(C58="","",IF(C58&gt;='Quy dinh'!$B$5,"Đạt","Chưa đủ"))</f>
        <v/>
      </c>
      <c r="E58" s="7">
        <f>IF(C58="","",IF(AND(B58&lt;&gt;"",C58&gt;='Quy dinh'!$B$5),'Quy dinh'!$B$6,0))</f>
        <v/>
      </c>
      <c r="F58" s="19" t="n"/>
      <c r="G58" s="17">
        <f>IF(A58="","",TEXT(A58,"yyyy-mm"))</f>
        <v/>
      </c>
    </row>
    <row r="59">
      <c r="A59" s="22" t="n"/>
      <c r="B59" s="19" t="n"/>
      <c r="C59" s="19" t="n"/>
      <c r="D59" s="17">
        <f>IF(C59="","",IF(C59&gt;='Quy dinh'!$B$5,"Đạt","Chưa đủ"))</f>
        <v/>
      </c>
      <c r="E59" s="7">
        <f>IF(C59="","",IF(AND(B59&lt;&gt;"",C59&gt;='Quy dinh'!$B$5),'Quy dinh'!$B$6,0))</f>
        <v/>
      </c>
      <c r="F59" s="19" t="n"/>
      <c r="G59" s="17">
        <f>IF(A59="","",TEXT(A59,"yyyy-mm"))</f>
        <v/>
      </c>
    </row>
    <row r="60">
      <c r="A60" s="22" t="n"/>
      <c r="B60" s="19" t="n"/>
      <c r="C60" s="19" t="n"/>
      <c r="D60" s="17">
        <f>IF(C60="","",IF(C60&gt;='Quy dinh'!$B$5,"Đạt","Chưa đủ"))</f>
        <v/>
      </c>
      <c r="E60" s="7">
        <f>IF(C60="","",IF(AND(B60&lt;&gt;"",C60&gt;='Quy dinh'!$B$5),'Quy dinh'!$B$6,0))</f>
        <v/>
      </c>
      <c r="F60" s="19" t="n"/>
      <c r="G60" s="17">
        <f>IF(A60="","",TEXT(A60,"yyyy-mm"))</f>
        <v/>
      </c>
    </row>
    <row r="61">
      <c r="A61" s="22" t="n"/>
      <c r="B61" s="19" t="n"/>
      <c r="C61" s="19" t="n"/>
      <c r="D61" s="17">
        <f>IF(C61="","",IF(C61&gt;='Quy dinh'!$B$5,"Đạt","Chưa đủ"))</f>
        <v/>
      </c>
      <c r="E61" s="7">
        <f>IF(C61="","",IF(AND(B61&lt;&gt;"",C61&gt;='Quy dinh'!$B$5),'Quy dinh'!$B$6,0))</f>
        <v/>
      </c>
      <c r="F61" s="19" t="n"/>
      <c r="G61" s="17">
        <f>IF(A61="","",TEXT(A61,"yyyy-mm"))</f>
        <v/>
      </c>
    </row>
    <row r="62">
      <c r="A62" s="22" t="n"/>
      <c r="B62" s="19" t="n"/>
      <c r="C62" s="19" t="n"/>
      <c r="D62" s="17">
        <f>IF(C62="","",IF(C62&gt;='Quy dinh'!$B$5,"Đạt","Chưa đủ"))</f>
        <v/>
      </c>
      <c r="E62" s="7">
        <f>IF(C62="","",IF(AND(B62&lt;&gt;"",C62&gt;='Quy dinh'!$B$5),'Quy dinh'!$B$6,0))</f>
        <v/>
      </c>
      <c r="F62" s="19" t="n"/>
      <c r="G62" s="17">
        <f>IF(A62="","",TEXT(A62,"yyyy-mm"))</f>
        <v/>
      </c>
    </row>
    <row r="63">
      <c r="A63" s="22" t="n"/>
      <c r="B63" s="19" t="n"/>
      <c r="C63" s="19" t="n"/>
      <c r="D63" s="17">
        <f>IF(C63="","",IF(C63&gt;='Quy dinh'!$B$5,"Đạt","Chưa đủ"))</f>
        <v/>
      </c>
      <c r="E63" s="7">
        <f>IF(C63="","",IF(AND(B63&lt;&gt;"",C63&gt;='Quy dinh'!$B$5),'Quy dinh'!$B$6,0))</f>
        <v/>
      </c>
      <c r="F63" s="19" t="n"/>
      <c r="G63" s="17">
        <f>IF(A63="","",TEXT(A63,"yyyy-mm"))</f>
        <v/>
      </c>
    </row>
    <row r="64">
      <c r="A64" s="22" t="n"/>
      <c r="B64" s="19" t="n"/>
      <c r="C64" s="19" t="n"/>
      <c r="D64" s="17">
        <f>IF(C64="","",IF(C64&gt;='Quy dinh'!$B$5,"Đạt","Chưa đủ"))</f>
        <v/>
      </c>
      <c r="E64" s="7">
        <f>IF(C64="","",IF(AND(B64&lt;&gt;"",C64&gt;='Quy dinh'!$B$5),'Quy dinh'!$B$6,0))</f>
        <v/>
      </c>
      <c r="F64" s="19" t="n"/>
      <c r="G64" s="17">
        <f>IF(A64="","",TEXT(A64,"yyyy-mm"))</f>
        <v/>
      </c>
    </row>
    <row r="65">
      <c r="A65" s="22" t="n"/>
      <c r="B65" s="19" t="n"/>
      <c r="C65" s="19" t="n"/>
      <c r="D65" s="17">
        <f>IF(C65="","",IF(C65&gt;='Quy dinh'!$B$5,"Đạt","Chưa đủ"))</f>
        <v/>
      </c>
      <c r="E65" s="7">
        <f>IF(C65="","",IF(AND(B65&lt;&gt;"",C65&gt;='Quy dinh'!$B$5),'Quy dinh'!$B$6,0))</f>
        <v/>
      </c>
      <c r="F65" s="19" t="n"/>
      <c r="G65" s="17">
        <f>IF(A65="","",TEXT(A65,"yyyy-mm"))</f>
        <v/>
      </c>
    </row>
    <row r="66">
      <c r="A66" s="22" t="n"/>
      <c r="B66" s="19" t="n"/>
      <c r="C66" s="19" t="n"/>
      <c r="D66" s="17">
        <f>IF(C66="","",IF(C66&gt;='Quy dinh'!$B$5,"Đạt","Chưa đủ"))</f>
        <v/>
      </c>
      <c r="E66" s="7">
        <f>IF(C66="","",IF(AND(B66&lt;&gt;"",C66&gt;='Quy dinh'!$B$5),'Quy dinh'!$B$6,0))</f>
        <v/>
      </c>
      <c r="F66" s="19" t="n"/>
      <c r="G66" s="17">
        <f>IF(A66="","",TEXT(A66,"yyyy-mm"))</f>
        <v/>
      </c>
    </row>
    <row r="67">
      <c r="A67" s="22" t="n"/>
      <c r="B67" s="19" t="n"/>
      <c r="C67" s="19" t="n"/>
      <c r="D67" s="17">
        <f>IF(C67="","",IF(C67&gt;='Quy dinh'!$B$5,"Đạt","Chưa đủ"))</f>
        <v/>
      </c>
      <c r="E67" s="7">
        <f>IF(C67="","",IF(AND(B67&lt;&gt;"",C67&gt;='Quy dinh'!$B$5),'Quy dinh'!$B$6,0))</f>
        <v/>
      </c>
      <c r="F67" s="19" t="n"/>
      <c r="G67" s="17">
        <f>IF(A67="","",TEXT(A67,"yyyy-mm"))</f>
        <v/>
      </c>
    </row>
    <row r="68">
      <c r="A68" s="22" t="n"/>
      <c r="B68" s="19" t="n"/>
      <c r="C68" s="19" t="n"/>
      <c r="D68" s="17">
        <f>IF(C68="","",IF(C68&gt;='Quy dinh'!$B$5,"Đạt","Chưa đủ"))</f>
        <v/>
      </c>
      <c r="E68" s="7">
        <f>IF(C68="","",IF(AND(B68&lt;&gt;"",C68&gt;='Quy dinh'!$B$5),'Quy dinh'!$B$6,0))</f>
        <v/>
      </c>
      <c r="F68" s="19" t="n"/>
      <c r="G68" s="17">
        <f>IF(A68="","",TEXT(A68,"yyyy-mm"))</f>
        <v/>
      </c>
    </row>
    <row r="69">
      <c r="A69" s="22" t="n"/>
      <c r="B69" s="19" t="n"/>
      <c r="C69" s="19" t="n"/>
      <c r="D69" s="17">
        <f>IF(C69="","",IF(C69&gt;='Quy dinh'!$B$5,"Đạt","Chưa đủ"))</f>
        <v/>
      </c>
      <c r="E69" s="7">
        <f>IF(C69="","",IF(AND(B69&lt;&gt;"",C69&gt;='Quy dinh'!$B$5),'Quy dinh'!$B$6,0))</f>
        <v/>
      </c>
      <c r="F69" s="19" t="n"/>
      <c r="G69" s="17">
        <f>IF(A69="","",TEXT(A69,"yyyy-mm"))</f>
        <v/>
      </c>
    </row>
    <row r="70">
      <c r="A70" s="22" t="n"/>
      <c r="B70" s="19" t="n"/>
      <c r="C70" s="19" t="n"/>
      <c r="D70" s="17">
        <f>IF(C70="","",IF(C70&gt;='Quy dinh'!$B$5,"Đạt","Chưa đủ"))</f>
        <v/>
      </c>
      <c r="E70" s="7">
        <f>IF(C70="","",IF(AND(B70&lt;&gt;"",C70&gt;='Quy dinh'!$B$5),'Quy dinh'!$B$6,0))</f>
        <v/>
      </c>
      <c r="F70" s="19" t="n"/>
      <c r="G70" s="17">
        <f>IF(A70="","",TEXT(A70,"yyyy-mm"))</f>
        <v/>
      </c>
    </row>
    <row r="71">
      <c r="A71" s="22" t="n"/>
      <c r="B71" s="19" t="n"/>
      <c r="C71" s="19" t="n"/>
      <c r="D71" s="17">
        <f>IF(C71="","",IF(C71&gt;='Quy dinh'!$B$5,"Đạt","Chưa đủ"))</f>
        <v/>
      </c>
      <c r="E71" s="7">
        <f>IF(C71="","",IF(AND(B71&lt;&gt;"",C71&gt;='Quy dinh'!$B$5),'Quy dinh'!$B$6,0))</f>
        <v/>
      </c>
      <c r="F71" s="19" t="n"/>
      <c r="G71" s="17">
        <f>IF(A71="","",TEXT(A71,"yyyy-mm"))</f>
        <v/>
      </c>
    </row>
    <row r="72">
      <c r="A72" s="22" t="n"/>
      <c r="B72" s="19" t="n"/>
      <c r="C72" s="19" t="n"/>
      <c r="D72" s="17">
        <f>IF(C72="","",IF(C72&gt;='Quy dinh'!$B$5,"Đạt","Chưa đủ"))</f>
        <v/>
      </c>
      <c r="E72" s="7">
        <f>IF(C72="","",IF(AND(B72&lt;&gt;"",C72&gt;='Quy dinh'!$B$5),'Quy dinh'!$B$6,0))</f>
        <v/>
      </c>
      <c r="F72" s="19" t="n"/>
      <c r="G72" s="17">
        <f>IF(A72="","",TEXT(A72,"yyyy-mm"))</f>
        <v/>
      </c>
    </row>
    <row r="73">
      <c r="A73" s="22" t="n"/>
      <c r="B73" s="19" t="n"/>
      <c r="C73" s="19" t="n"/>
      <c r="D73" s="17">
        <f>IF(C73="","",IF(C73&gt;='Quy dinh'!$B$5,"Đạt","Chưa đủ"))</f>
        <v/>
      </c>
      <c r="E73" s="7">
        <f>IF(C73="","",IF(AND(B73&lt;&gt;"",C73&gt;='Quy dinh'!$B$5),'Quy dinh'!$B$6,0))</f>
        <v/>
      </c>
      <c r="F73" s="19" t="n"/>
      <c r="G73" s="17">
        <f>IF(A73="","",TEXT(A73,"yyyy-mm"))</f>
        <v/>
      </c>
    </row>
    <row r="74">
      <c r="A74" s="22" t="n"/>
      <c r="B74" s="19" t="n"/>
      <c r="C74" s="19" t="n"/>
      <c r="D74" s="17">
        <f>IF(C74="","",IF(C74&gt;='Quy dinh'!$B$5,"Đạt","Chưa đủ"))</f>
        <v/>
      </c>
      <c r="E74" s="7">
        <f>IF(C74="","",IF(AND(B74&lt;&gt;"",C74&gt;='Quy dinh'!$B$5),'Quy dinh'!$B$6,0))</f>
        <v/>
      </c>
      <c r="F74" s="19" t="n"/>
      <c r="G74" s="17">
        <f>IF(A74="","",TEXT(A74,"yyyy-mm"))</f>
        <v/>
      </c>
    </row>
    <row r="75">
      <c r="A75" s="22" t="n"/>
      <c r="B75" s="19" t="n"/>
      <c r="C75" s="19" t="n"/>
      <c r="D75" s="17">
        <f>IF(C75="","",IF(C75&gt;='Quy dinh'!$B$5,"Đạt","Chưa đủ"))</f>
        <v/>
      </c>
      <c r="E75" s="7">
        <f>IF(C75="","",IF(AND(B75&lt;&gt;"",C75&gt;='Quy dinh'!$B$5),'Quy dinh'!$B$6,0))</f>
        <v/>
      </c>
      <c r="F75" s="19" t="n"/>
      <c r="G75" s="17">
        <f>IF(A75="","",TEXT(A75,"yyyy-mm"))</f>
        <v/>
      </c>
    </row>
    <row r="76">
      <c r="A76" s="22" t="n"/>
      <c r="B76" s="19" t="n"/>
      <c r="C76" s="19" t="n"/>
      <c r="D76" s="17">
        <f>IF(C76="","",IF(C76&gt;='Quy dinh'!$B$5,"Đạt","Chưa đủ"))</f>
        <v/>
      </c>
      <c r="E76" s="7">
        <f>IF(C76="","",IF(AND(B76&lt;&gt;"",C76&gt;='Quy dinh'!$B$5),'Quy dinh'!$B$6,0))</f>
        <v/>
      </c>
      <c r="F76" s="19" t="n"/>
      <c r="G76" s="17">
        <f>IF(A76="","",TEXT(A76,"yyyy-mm"))</f>
        <v/>
      </c>
    </row>
    <row r="77">
      <c r="A77" s="22" t="n"/>
      <c r="B77" s="19" t="n"/>
      <c r="C77" s="19" t="n"/>
      <c r="D77" s="17">
        <f>IF(C77="","",IF(C77&gt;='Quy dinh'!$B$5,"Đạt","Chưa đủ"))</f>
        <v/>
      </c>
      <c r="E77" s="7">
        <f>IF(C77="","",IF(AND(B77&lt;&gt;"",C77&gt;='Quy dinh'!$B$5),'Quy dinh'!$B$6,0))</f>
        <v/>
      </c>
      <c r="F77" s="19" t="n"/>
      <c r="G77" s="17">
        <f>IF(A77="","",TEXT(A77,"yyyy-mm"))</f>
        <v/>
      </c>
    </row>
    <row r="78">
      <c r="A78" s="22" t="n"/>
      <c r="B78" s="19" t="n"/>
      <c r="C78" s="19" t="n"/>
      <c r="D78" s="17">
        <f>IF(C78="","",IF(C78&gt;='Quy dinh'!$B$5,"Đạt","Chưa đủ"))</f>
        <v/>
      </c>
      <c r="E78" s="7">
        <f>IF(C78="","",IF(AND(B78&lt;&gt;"",C78&gt;='Quy dinh'!$B$5),'Quy dinh'!$B$6,0))</f>
        <v/>
      </c>
      <c r="F78" s="19" t="n"/>
      <c r="G78" s="17">
        <f>IF(A78="","",TEXT(A78,"yyyy-mm"))</f>
        <v/>
      </c>
    </row>
    <row r="79">
      <c r="A79" s="22" t="n"/>
      <c r="B79" s="19" t="n"/>
      <c r="C79" s="19" t="n"/>
      <c r="D79" s="17">
        <f>IF(C79="","",IF(C79&gt;='Quy dinh'!$B$5,"Đạt","Chưa đủ"))</f>
        <v/>
      </c>
      <c r="E79" s="7">
        <f>IF(C79="","",IF(AND(B79&lt;&gt;"",C79&gt;='Quy dinh'!$B$5),'Quy dinh'!$B$6,0))</f>
        <v/>
      </c>
      <c r="F79" s="19" t="n"/>
      <c r="G79" s="17">
        <f>IF(A79="","",TEXT(A79,"yyyy-mm"))</f>
        <v/>
      </c>
    </row>
    <row r="80">
      <c r="A80" s="22" t="n"/>
      <c r="B80" s="19" t="n"/>
      <c r="C80" s="19" t="n"/>
      <c r="D80" s="17">
        <f>IF(C80="","",IF(C80&gt;='Quy dinh'!$B$5,"Đạt","Chưa đủ"))</f>
        <v/>
      </c>
      <c r="E80" s="7">
        <f>IF(C80="","",IF(AND(B80&lt;&gt;"",C80&gt;='Quy dinh'!$B$5),'Quy dinh'!$B$6,0))</f>
        <v/>
      </c>
      <c r="F80" s="19" t="n"/>
      <c r="G80" s="17">
        <f>IF(A80="","",TEXT(A80,"yyyy-mm"))</f>
        <v/>
      </c>
    </row>
    <row r="81">
      <c r="A81" s="22" t="n"/>
      <c r="B81" s="19" t="n"/>
      <c r="C81" s="19" t="n"/>
      <c r="D81" s="17">
        <f>IF(C81="","",IF(C81&gt;='Quy dinh'!$B$5,"Đạt","Chưa đủ"))</f>
        <v/>
      </c>
      <c r="E81" s="7">
        <f>IF(C81="","",IF(AND(B81&lt;&gt;"",C81&gt;='Quy dinh'!$B$5),'Quy dinh'!$B$6,0))</f>
        <v/>
      </c>
      <c r="F81" s="19" t="n"/>
      <c r="G81" s="17">
        <f>IF(A81="","",TEXT(A81,"yyyy-mm"))</f>
        <v/>
      </c>
    </row>
    <row r="82">
      <c r="A82" s="22" t="n"/>
      <c r="B82" s="19" t="n"/>
      <c r="C82" s="19" t="n"/>
      <c r="D82" s="17">
        <f>IF(C82="","",IF(C82&gt;='Quy dinh'!$B$5,"Đạt","Chưa đủ"))</f>
        <v/>
      </c>
      <c r="E82" s="7">
        <f>IF(C82="","",IF(AND(B82&lt;&gt;"",C82&gt;='Quy dinh'!$B$5),'Quy dinh'!$B$6,0))</f>
        <v/>
      </c>
      <c r="F82" s="19" t="n"/>
      <c r="G82" s="17">
        <f>IF(A82="","",TEXT(A82,"yyyy-mm"))</f>
        <v/>
      </c>
    </row>
    <row r="83">
      <c r="A83" s="22" t="n"/>
      <c r="B83" s="19" t="n"/>
      <c r="C83" s="19" t="n"/>
      <c r="D83" s="17">
        <f>IF(C83="","",IF(C83&gt;='Quy dinh'!$B$5,"Đạt","Chưa đủ"))</f>
        <v/>
      </c>
      <c r="E83" s="7">
        <f>IF(C83="","",IF(AND(B83&lt;&gt;"",C83&gt;='Quy dinh'!$B$5),'Quy dinh'!$B$6,0))</f>
        <v/>
      </c>
      <c r="F83" s="19" t="n"/>
      <c r="G83" s="17">
        <f>IF(A83="","",TEXT(A83,"yyyy-mm"))</f>
        <v/>
      </c>
    </row>
    <row r="84">
      <c r="A84" s="22" t="n"/>
      <c r="B84" s="19" t="n"/>
      <c r="C84" s="19" t="n"/>
      <c r="D84" s="17">
        <f>IF(C84="","",IF(C84&gt;='Quy dinh'!$B$5,"Đạt","Chưa đủ"))</f>
        <v/>
      </c>
      <c r="E84" s="7">
        <f>IF(C84="","",IF(AND(B84&lt;&gt;"",C84&gt;='Quy dinh'!$B$5),'Quy dinh'!$B$6,0))</f>
        <v/>
      </c>
      <c r="F84" s="19" t="n"/>
      <c r="G84" s="17">
        <f>IF(A84="","",TEXT(A84,"yyyy-mm"))</f>
        <v/>
      </c>
    </row>
    <row r="85">
      <c r="A85" s="22" t="n"/>
      <c r="B85" s="19" t="n"/>
      <c r="C85" s="19" t="n"/>
      <c r="D85" s="17">
        <f>IF(C85="","",IF(C85&gt;='Quy dinh'!$B$5,"Đạt","Chưa đủ"))</f>
        <v/>
      </c>
      <c r="E85" s="7">
        <f>IF(C85="","",IF(AND(B85&lt;&gt;"",C85&gt;='Quy dinh'!$B$5),'Quy dinh'!$B$6,0))</f>
        <v/>
      </c>
      <c r="F85" s="19" t="n"/>
      <c r="G85" s="17">
        <f>IF(A85="","",TEXT(A85,"yyyy-mm"))</f>
        <v/>
      </c>
    </row>
    <row r="86">
      <c r="A86" s="22" t="n"/>
      <c r="B86" s="19" t="n"/>
      <c r="C86" s="19" t="n"/>
      <c r="D86" s="17">
        <f>IF(C86="","",IF(C86&gt;='Quy dinh'!$B$5,"Đạt","Chưa đủ"))</f>
        <v/>
      </c>
      <c r="E86" s="7">
        <f>IF(C86="","",IF(AND(B86&lt;&gt;"",C86&gt;='Quy dinh'!$B$5),'Quy dinh'!$B$6,0))</f>
        <v/>
      </c>
      <c r="F86" s="19" t="n"/>
      <c r="G86" s="17">
        <f>IF(A86="","",TEXT(A86,"yyyy-mm"))</f>
        <v/>
      </c>
    </row>
    <row r="87">
      <c r="A87" s="22" t="n"/>
      <c r="B87" s="19" t="n"/>
      <c r="C87" s="19" t="n"/>
      <c r="D87" s="17">
        <f>IF(C87="","",IF(C87&gt;='Quy dinh'!$B$5,"Đạt","Chưa đủ"))</f>
        <v/>
      </c>
      <c r="E87" s="7">
        <f>IF(C87="","",IF(AND(B87&lt;&gt;"",C87&gt;='Quy dinh'!$B$5),'Quy dinh'!$B$6,0))</f>
        <v/>
      </c>
      <c r="F87" s="19" t="n"/>
      <c r="G87" s="17">
        <f>IF(A87="","",TEXT(A87,"yyyy-mm"))</f>
        <v/>
      </c>
    </row>
    <row r="88">
      <c r="A88" s="22" t="n"/>
      <c r="B88" s="19" t="n"/>
      <c r="C88" s="19" t="n"/>
      <c r="D88" s="17">
        <f>IF(C88="","",IF(C88&gt;='Quy dinh'!$B$5,"Đạt","Chưa đủ"))</f>
        <v/>
      </c>
      <c r="E88" s="7">
        <f>IF(C88="","",IF(AND(B88&lt;&gt;"",C88&gt;='Quy dinh'!$B$5),'Quy dinh'!$B$6,0))</f>
        <v/>
      </c>
      <c r="F88" s="19" t="n"/>
      <c r="G88" s="17">
        <f>IF(A88="","",TEXT(A88,"yyyy-mm"))</f>
        <v/>
      </c>
    </row>
    <row r="89">
      <c r="A89" s="22" t="n"/>
      <c r="B89" s="19" t="n"/>
      <c r="C89" s="19" t="n"/>
      <c r="D89" s="17">
        <f>IF(C89="","",IF(C89&gt;='Quy dinh'!$B$5,"Đạt","Chưa đủ"))</f>
        <v/>
      </c>
      <c r="E89" s="7">
        <f>IF(C89="","",IF(AND(B89&lt;&gt;"",C89&gt;='Quy dinh'!$B$5),'Quy dinh'!$B$6,0))</f>
        <v/>
      </c>
      <c r="F89" s="19" t="n"/>
      <c r="G89" s="17">
        <f>IF(A89="","",TEXT(A89,"yyyy-mm"))</f>
        <v/>
      </c>
    </row>
    <row r="90">
      <c r="A90" s="22" t="n"/>
      <c r="B90" s="19" t="n"/>
      <c r="C90" s="19" t="n"/>
      <c r="D90" s="17">
        <f>IF(C90="","",IF(C90&gt;='Quy dinh'!$B$5,"Đạt","Chưa đủ"))</f>
        <v/>
      </c>
      <c r="E90" s="7">
        <f>IF(C90="","",IF(AND(B90&lt;&gt;"",C90&gt;='Quy dinh'!$B$5),'Quy dinh'!$B$6,0))</f>
        <v/>
      </c>
      <c r="F90" s="19" t="n"/>
      <c r="G90" s="17">
        <f>IF(A90="","",TEXT(A90,"yyyy-mm"))</f>
        <v/>
      </c>
    </row>
    <row r="91">
      <c r="A91" s="22" t="n"/>
      <c r="B91" s="19" t="n"/>
      <c r="C91" s="19" t="n"/>
      <c r="D91" s="17">
        <f>IF(C91="","",IF(C91&gt;='Quy dinh'!$B$5,"Đạt","Chưa đủ"))</f>
        <v/>
      </c>
      <c r="E91" s="7">
        <f>IF(C91="","",IF(AND(B91&lt;&gt;"",C91&gt;='Quy dinh'!$B$5),'Quy dinh'!$B$6,0))</f>
        <v/>
      </c>
      <c r="F91" s="19" t="n"/>
      <c r="G91" s="17">
        <f>IF(A91="","",TEXT(A91,"yyyy-mm"))</f>
        <v/>
      </c>
    </row>
    <row r="92">
      <c r="A92" s="22" t="n"/>
      <c r="B92" s="19" t="n"/>
      <c r="C92" s="19" t="n"/>
      <c r="D92" s="17">
        <f>IF(C92="","",IF(C92&gt;='Quy dinh'!$B$5,"Đạt","Chưa đủ"))</f>
        <v/>
      </c>
      <c r="E92" s="7">
        <f>IF(C92="","",IF(AND(B92&lt;&gt;"",C92&gt;='Quy dinh'!$B$5),'Quy dinh'!$B$6,0))</f>
        <v/>
      </c>
      <c r="F92" s="19" t="n"/>
      <c r="G92" s="17">
        <f>IF(A92="","",TEXT(A92,"yyyy-mm"))</f>
        <v/>
      </c>
    </row>
    <row r="93">
      <c r="A93" s="22" t="n"/>
      <c r="B93" s="19" t="n"/>
      <c r="C93" s="19" t="n"/>
      <c r="D93" s="17">
        <f>IF(C93="","",IF(C93&gt;='Quy dinh'!$B$5,"Đạt","Chưa đủ"))</f>
        <v/>
      </c>
      <c r="E93" s="7">
        <f>IF(C93="","",IF(AND(B93&lt;&gt;"",C93&gt;='Quy dinh'!$B$5),'Quy dinh'!$B$6,0))</f>
        <v/>
      </c>
      <c r="F93" s="19" t="n"/>
      <c r="G93" s="17">
        <f>IF(A93="","",TEXT(A93,"yyyy-mm"))</f>
        <v/>
      </c>
    </row>
    <row r="94">
      <c r="A94" s="22" t="n"/>
      <c r="B94" s="19" t="n"/>
      <c r="C94" s="19" t="n"/>
      <c r="D94" s="17">
        <f>IF(C94="","",IF(C94&gt;='Quy dinh'!$B$5,"Đạt","Chưa đủ"))</f>
        <v/>
      </c>
      <c r="E94" s="7">
        <f>IF(C94="","",IF(AND(B94&lt;&gt;"",C94&gt;='Quy dinh'!$B$5),'Quy dinh'!$B$6,0))</f>
        <v/>
      </c>
      <c r="F94" s="19" t="n"/>
      <c r="G94" s="17">
        <f>IF(A94="","",TEXT(A94,"yyyy-mm"))</f>
        <v/>
      </c>
    </row>
    <row r="95">
      <c r="A95" s="22" t="n"/>
      <c r="B95" s="19" t="n"/>
      <c r="C95" s="19" t="n"/>
      <c r="D95" s="17">
        <f>IF(C95="","",IF(C95&gt;='Quy dinh'!$B$5,"Đạt","Chưa đủ"))</f>
        <v/>
      </c>
      <c r="E95" s="7">
        <f>IF(C95="","",IF(AND(B95&lt;&gt;"",C95&gt;='Quy dinh'!$B$5),'Quy dinh'!$B$6,0))</f>
        <v/>
      </c>
      <c r="F95" s="19" t="n"/>
      <c r="G95" s="17">
        <f>IF(A95="","",TEXT(A95,"yyyy-mm"))</f>
        <v/>
      </c>
    </row>
    <row r="96">
      <c r="A96" s="22" t="n"/>
      <c r="B96" s="19" t="n"/>
      <c r="C96" s="19" t="n"/>
      <c r="D96" s="17">
        <f>IF(C96="","",IF(C96&gt;='Quy dinh'!$B$5,"Đạt","Chưa đủ"))</f>
        <v/>
      </c>
      <c r="E96" s="7">
        <f>IF(C96="","",IF(AND(B96&lt;&gt;"",C96&gt;='Quy dinh'!$B$5),'Quy dinh'!$B$6,0))</f>
        <v/>
      </c>
      <c r="F96" s="19" t="n"/>
      <c r="G96" s="17">
        <f>IF(A96="","",TEXT(A96,"yyyy-mm"))</f>
        <v/>
      </c>
    </row>
    <row r="97">
      <c r="A97" s="22" t="n"/>
      <c r="B97" s="19" t="n"/>
      <c r="C97" s="19" t="n"/>
      <c r="D97" s="17">
        <f>IF(C97="","",IF(C97&gt;='Quy dinh'!$B$5,"Đạt","Chưa đủ"))</f>
        <v/>
      </c>
      <c r="E97" s="7">
        <f>IF(C97="","",IF(AND(B97&lt;&gt;"",C97&gt;='Quy dinh'!$B$5),'Quy dinh'!$B$6,0))</f>
        <v/>
      </c>
      <c r="F97" s="19" t="n"/>
      <c r="G97" s="17">
        <f>IF(A97="","",TEXT(A97,"yyyy-mm"))</f>
        <v/>
      </c>
    </row>
    <row r="98">
      <c r="A98" s="22" t="n"/>
      <c r="B98" s="19" t="n"/>
      <c r="C98" s="19" t="n"/>
      <c r="D98" s="17">
        <f>IF(C98="","",IF(C98&gt;='Quy dinh'!$B$5,"Đạt","Chưa đủ"))</f>
        <v/>
      </c>
      <c r="E98" s="7">
        <f>IF(C98="","",IF(AND(B98&lt;&gt;"",C98&gt;='Quy dinh'!$B$5),'Quy dinh'!$B$6,0))</f>
        <v/>
      </c>
      <c r="F98" s="19" t="n"/>
      <c r="G98" s="17">
        <f>IF(A98="","",TEXT(A98,"yyyy-mm"))</f>
        <v/>
      </c>
    </row>
    <row r="99">
      <c r="A99" s="22" t="n"/>
      <c r="B99" s="19" t="n"/>
      <c r="C99" s="19" t="n"/>
      <c r="D99" s="17">
        <f>IF(C99="","",IF(C99&gt;='Quy dinh'!$B$5,"Đạt","Chưa đủ"))</f>
        <v/>
      </c>
      <c r="E99" s="7">
        <f>IF(C99="","",IF(AND(B99&lt;&gt;"",C99&gt;='Quy dinh'!$B$5),'Quy dinh'!$B$6,0))</f>
        <v/>
      </c>
      <c r="F99" s="19" t="n"/>
      <c r="G99" s="17">
        <f>IF(A99="","",TEXT(A99,"yyyy-mm"))</f>
        <v/>
      </c>
    </row>
    <row r="100">
      <c r="A100" s="22" t="n"/>
      <c r="B100" s="19" t="n"/>
      <c r="C100" s="19" t="n"/>
      <c r="D100" s="17">
        <f>IF(C100="","",IF(C100&gt;='Quy dinh'!$B$5,"Đạt","Chưa đủ"))</f>
        <v/>
      </c>
      <c r="E100" s="7">
        <f>IF(C100="","",IF(AND(B100&lt;&gt;"",C100&gt;='Quy dinh'!$B$5),'Quy dinh'!$B$6,0))</f>
        <v/>
      </c>
      <c r="F100" s="19" t="n"/>
      <c r="G100" s="17">
        <f>IF(A100="","",TEXT(A100,"yyyy-mm"))</f>
        <v/>
      </c>
    </row>
    <row r="101">
      <c r="A101" s="22" t="n"/>
      <c r="B101" s="19" t="n"/>
      <c r="C101" s="19" t="n"/>
      <c r="D101" s="17">
        <f>IF(C101="","",IF(C101&gt;='Quy dinh'!$B$5,"Đạt","Chưa đủ"))</f>
        <v/>
      </c>
      <c r="E101" s="7">
        <f>IF(C101="","",IF(AND(B101&lt;&gt;"",C101&gt;='Quy dinh'!$B$5),'Quy dinh'!$B$6,0))</f>
        <v/>
      </c>
      <c r="F101" s="19" t="n"/>
      <c r="G101" s="17">
        <f>IF(A101="","",TEXT(A101,"yyyy-mm"))</f>
        <v/>
      </c>
    </row>
    <row r="102">
      <c r="A102" s="22" t="n"/>
      <c r="B102" s="19" t="n"/>
      <c r="C102" s="19" t="n"/>
      <c r="D102" s="17">
        <f>IF(C102="","",IF(C102&gt;='Quy dinh'!$B$5,"Đạt","Chưa đủ"))</f>
        <v/>
      </c>
      <c r="E102" s="7">
        <f>IF(C102="","",IF(AND(B102&lt;&gt;"",C102&gt;='Quy dinh'!$B$5),'Quy dinh'!$B$6,0))</f>
        <v/>
      </c>
      <c r="F102" s="19" t="n"/>
      <c r="G102" s="17">
        <f>IF(A102="","",TEXT(A102,"yyyy-mm"))</f>
        <v/>
      </c>
    </row>
    <row r="103">
      <c r="A103" s="22" t="n"/>
      <c r="B103" s="19" t="n"/>
      <c r="C103" s="19" t="n"/>
      <c r="D103" s="17">
        <f>IF(C103="","",IF(C103&gt;='Quy dinh'!$B$5,"Đạt","Chưa đủ"))</f>
        <v/>
      </c>
      <c r="E103" s="7">
        <f>IF(C103="","",IF(AND(B103&lt;&gt;"",C103&gt;='Quy dinh'!$B$5),'Quy dinh'!$B$6,0))</f>
        <v/>
      </c>
      <c r="F103" s="19" t="n"/>
      <c r="G103" s="17">
        <f>IF(A103="","",TEXT(A103,"yyyy-mm"))</f>
        <v/>
      </c>
    </row>
    <row r="104">
      <c r="A104" s="22" t="n"/>
      <c r="B104" s="19" t="n"/>
      <c r="C104" s="19" t="n"/>
      <c r="D104" s="17">
        <f>IF(C104="","",IF(C104&gt;='Quy dinh'!$B$5,"Đạt","Chưa đủ"))</f>
        <v/>
      </c>
      <c r="E104" s="7">
        <f>IF(C104="","",IF(AND(B104&lt;&gt;"",C104&gt;='Quy dinh'!$B$5),'Quy dinh'!$B$6,0))</f>
        <v/>
      </c>
      <c r="F104" s="19" t="n"/>
      <c r="G104" s="17">
        <f>IF(A104="","",TEXT(A104,"yyyy-mm"))</f>
        <v/>
      </c>
    </row>
    <row r="105">
      <c r="A105" s="22" t="n"/>
      <c r="B105" s="19" t="n"/>
      <c r="C105" s="19" t="n"/>
      <c r="D105" s="17">
        <f>IF(C105="","",IF(C105&gt;='Quy dinh'!$B$5,"Đạt","Chưa đủ"))</f>
        <v/>
      </c>
      <c r="E105" s="7">
        <f>IF(C105="","",IF(AND(B105&lt;&gt;"",C105&gt;='Quy dinh'!$B$5),'Quy dinh'!$B$6,0))</f>
        <v/>
      </c>
      <c r="F105" s="19" t="n"/>
      <c r="G105" s="17">
        <f>IF(A105="","",TEXT(A105,"yyyy-mm"))</f>
        <v/>
      </c>
    </row>
    <row r="106">
      <c r="A106" s="22" t="n"/>
      <c r="B106" s="19" t="n"/>
      <c r="C106" s="19" t="n"/>
      <c r="D106" s="17">
        <f>IF(C106="","",IF(C106&gt;='Quy dinh'!$B$5,"Đạt","Chưa đủ"))</f>
        <v/>
      </c>
      <c r="E106" s="7">
        <f>IF(C106="","",IF(AND(B106&lt;&gt;"",C106&gt;='Quy dinh'!$B$5),'Quy dinh'!$B$6,0))</f>
        <v/>
      </c>
      <c r="F106" s="19" t="n"/>
      <c r="G106" s="17">
        <f>IF(A106="","",TEXT(A106,"yyyy-mm"))</f>
        <v/>
      </c>
    </row>
    <row r="107">
      <c r="A107" s="22" t="n"/>
      <c r="B107" s="19" t="n"/>
      <c r="C107" s="19" t="n"/>
      <c r="D107" s="17">
        <f>IF(C107="","",IF(C107&gt;='Quy dinh'!$B$5,"Đạt","Chưa đủ"))</f>
        <v/>
      </c>
      <c r="E107" s="7">
        <f>IF(C107="","",IF(AND(B107&lt;&gt;"",C107&gt;='Quy dinh'!$B$5),'Quy dinh'!$B$6,0))</f>
        <v/>
      </c>
      <c r="F107" s="19" t="n"/>
      <c r="G107" s="17">
        <f>IF(A107="","",TEXT(A107,"yyyy-mm"))</f>
        <v/>
      </c>
    </row>
    <row r="108">
      <c r="A108" s="22" t="n"/>
      <c r="B108" s="19" t="n"/>
      <c r="C108" s="19" t="n"/>
      <c r="D108" s="17">
        <f>IF(C108="","",IF(C108&gt;='Quy dinh'!$B$5,"Đạt","Chưa đủ"))</f>
        <v/>
      </c>
      <c r="E108" s="7">
        <f>IF(C108="","",IF(AND(B108&lt;&gt;"",C108&gt;='Quy dinh'!$B$5),'Quy dinh'!$B$6,0))</f>
        <v/>
      </c>
      <c r="F108" s="19" t="n"/>
      <c r="G108" s="17">
        <f>IF(A108="","",TEXT(A108,"yyyy-mm"))</f>
        <v/>
      </c>
    </row>
    <row r="109">
      <c r="A109" s="22" t="n"/>
      <c r="B109" s="19" t="n"/>
      <c r="C109" s="19" t="n"/>
      <c r="D109" s="17">
        <f>IF(C109="","",IF(C109&gt;='Quy dinh'!$B$5,"Đạt","Chưa đủ"))</f>
        <v/>
      </c>
      <c r="E109" s="7">
        <f>IF(C109="","",IF(AND(B109&lt;&gt;"",C109&gt;='Quy dinh'!$B$5),'Quy dinh'!$B$6,0))</f>
        <v/>
      </c>
      <c r="F109" s="19" t="n"/>
      <c r="G109" s="17">
        <f>IF(A109="","",TEXT(A109,"yyyy-mm"))</f>
        <v/>
      </c>
    </row>
    <row r="110">
      <c r="A110" s="22" t="n"/>
      <c r="B110" s="19" t="n"/>
      <c r="C110" s="19" t="n"/>
      <c r="D110" s="17">
        <f>IF(C110="","",IF(C110&gt;='Quy dinh'!$B$5,"Đạt","Chưa đủ"))</f>
        <v/>
      </c>
      <c r="E110" s="7">
        <f>IF(C110="","",IF(AND(B110&lt;&gt;"",C110&gt;='Quy dinh'!$B$5),'Quy dinh'!$B$6,0))</f>
        <v/>
      </c>
      <c r="F110" s="19" t="n"/>
      <c r="G110" s="17">
        <f>IF(A110="","",TEXT(A110,"yyyy-mm"))</f>
        <v/>
      </c>
    </row>
    <row r="111">
      <c r="A111" s="22" t="n"/>
      <c r="B111" s="19" t="n"/>
      <c r="C111" s="19" t="n"/>
      <c r="D111" s="17">
        <f>IF(C111="","",IF(C111&gt;='Quy dinh'!$B$5,"Đạt","Chưa đủ"))</f>
        <v/>
      </c>
      <c r="E111" s="7">
        <f>IF(C111="","",IF(AND(B111&lt;&gt;"",C111&gt;='Quy dinh'!$B$5),'Quy dinh'!$B$6,0))</f>
        <v/>
      </c>
      <c r="F111" s="19" t="n"/>
      <c r="G111" s="17">
        <f>IF(A111="","",TEXT(A111,"yyyy-mm"))</f>
        <v/>
      </c>
    </row>
    <row r="112">
      <c r="A112" s="22" t="n"/>
      <c r="B112" s="19" t="n"/>
      <c r="C112" s="19" t="n"/>
      <c r="D112" s="17">
        <f>IF(C112="","",IF(C112&gt;='Quy dinh'!$B$5,"Đạt","Chưa đủ"))</f>
        <v/>
      </c>
      <c r="E112" s="7">
        <f>IF(C112="","",IF(AND(B112&lt;&gt;"",C112&gt;='Quy dinh'!$B$5),'Quy dinh'!$B$6,0))</f>
        <v/>
      </c>
      <c r="F112" s="19" t="n"/>
      <c r="G112" s="17">
        <f>IF(A112="","",TEXT(A112,"yyyy-mm"))</f>
        <v/>
      </c>
    </row>
    <row r="113">
      <c r="A113" s="22" t="n"/>
      <c r="B113" s="19" t="n"/>
      <c r="C113" s="19" t="n"/>
      <c r="D113" s="17">
        <f>IF(C113="","",IF(C113&gt;='Quy dinh'!$B$5,"Đạt","Chưa đủ"))</f>
        <v/>
      </c>
      <c r="E113" s="7">
        <f>IF(C113="","",IF(AND(B113&lt;&gt;"",C113&gt;='Quy dinh'!$B$5),'Quy dinh'!$B$6,0))</f>
        <v/>
      </c>
      <c r="F113" s="19" t="n"/>
      <c r="G113" s="17">
        <f>IF(A113="","",TEXT(A113,"yyyy-mm"))</f>
        <v/>
      </c>
    </row>
    <row r="114">
      <c r="A114" s="22" t="n"/>
      <c r="B114" s="19" t="n"/>
      <c r="C114" s="19" t="n"/>
      <c r="D114" s="17">
        <f>IF(C114="","",IF(C114&gt;='Quy dinh'!$B$5,"Đạt","Chưa đủ"))</f>
        <v/>
      </c>
      <c r="E114" s="7">
        <f>IF(C114="","",IF(AND(B114&lt;&gt;"",C114&gt;='Quy dinh'!$B$5),'Quy dinh'!$B$6,0))</f>
        <v/>
      </c>
      <c r="F114" s="19" t="n"/>
      <c r="G114" s="17">
        <f>IF(A114="","",TEXT(A114,"yyyy-mm"))</f>
        <v/>
      </c>
    </row>
    <row r="115">
      <c r="A115" s="22" t="n"/>
      <c r="B115" s="19" t="n"/>
      <c r="C115" s="19" t="n"/>
      <c r="D115" s="17">
        <f>IF(C115="","",IF(C115&gt;='Quy dinh'!$B$5,"Đạt","Chưa đủ"))</f>
        <v/>
      </c>
      <c r="E115" s="7">
        <f>IF(C115="","",IF(AND(B115&lt;&gt;"",C115&gt;='Quy dinh'!$B$5),'Quy dinh'!$B$6,0))</f>
        <v/>
      </c>
      <c r="F115" s="19" t="n"/>
      <c r="G115" s="17">
        <f>IF(A115="","",TEXT(A115,"yyyy-mm"))</f>
        <v/>
      </c>
    </row>
    <row r="116">
      <c r="A116" s="22" t="n"/>
      <c r="B116" s="19" t="n"/>
      <c r="C116" s="19" t="n"/>
      <c r="D116" s="17">
        <f>IF(C116="","",IF(C116&gt;='Quy dinh'!$B$5,"Đạt","Chưa đủ"))</f>
        <v/>
      </c>
      <c r="E116" s="7">
        <f>IF(C116="","",IF(AND(B116&lt;&gt;"",C116&gt;='Quy dinh'!$B$5),'Quy dinh'!$B$6,0))</f>
        <v/>
      </c>
      <c r="F116" s="19" t="n"/>
      <c r="G116" s="17">
        <f>IF(A116="","",TEXT(A116,"yyyy-mm"))</f>
        <v/>
      </c>
    </row>
    <row r="117">
      <c r="A117" s="22" t="n"/>
      <c r="B117" s="19" t="n"/>
      <c r="C117" s="19" t="n"/>
      <c r="D117" s="17">
        <f>IF(C117="","",IF(C117&gt;='Quy dinh'!$B$5,"Đạt","Chưa đủ"))</f>
        <v/>
      </c>
      <c r="E117" s="7">
        <f>IF(C117="","",IF(AND(B117&lt;&gt;"",C117&gt;='Quy dinh'!$B$5),'Quy dinh'!$B$6,0))</f>
        <v/>
      </c>
      <c r="F117" s="19" t="n"/>
      <c r="G117" s="17">
        <f>IF(A117="","",TEXT(A117,"yyyy-mm"))</f>
        <v/>
      </c>
    </row>
    <row r="118">
      <c r="A118" s="22" t="n"/>
      <c r="B118" s="19" t="n"/>
      <c r="C118" s="19" t="n"/>
      <c r="D118" s="17">
        <f>IF(C118="","",IF(C118&gt;='Quy dinh'!$B$5,"Đạt","Chưa đủ"))</f>
        <v/>
      </c>
      <c r="E118" s="7">
        <f>IF(C118="","",IF(AND(B118&lt;&gt;"",C118&gt;='Quy dinh'!$B$5),'Quy dinh'!$B$6,0))</f>
        <v/>
      </c>
      <c r="F118" s="19" t="n"/>
      <c r="G118" s="17">
        <f>IF(A118="","",TEXT(A118,"yyyy-mm"))</f>
        <v/>
      </c>
    </row>
    <row r="119">
      <c r="A119" s="22" t="n"/>
      <c r="B119" s="19" t="n"/>
      <c r="C119" s="19" t="n"/>
      <c r="D119" s="17">
        <f>IF(C119="","",IF(C119&gt;='Quy dinh'!$B$5,"Đạt","Chưa đủ"))</f>
        <v/>
      </c>
      <c r="E119" s="7">
        <f>IF(C119="","",IF(AND(B119&lt;&gt;"",C119&gt;='Quy dinh'!$B$5),'Quy dinh'!$B$6,0))</f>
        <v/>
      </c>
      <c r="F119" s="19" t="n"/>
      <c r="G119" s="17">
        <f>IF(A119="","",TEXT(A119,"yyyy-mm"))</f>
        <v/>
      </c>
    </row>
    <row r="120">
      <c r="A120" s="22" t="n"/>
      <c r="B120" s="19" t="n"/>
      <c r="C120" s="19" t="n"/>
      <c r="D120" s="17">
        <f>IF(C120="","",IF(C120&gt;='Quy dinh'!$B$5,"Đạt","Chưa đủ"))</f>
        <v/>
      </c>
      <c r="E120" s="7">
        <f>IF(C120="","",IF(AND(B120&lt;&gt;"",C120&gt;='Quy dinh'!$B$5),'Quy dinh'!$B$6,0))</f>
        <v/>
      </c>
      <c r="F120" s="19" t="n"/>
      <c r="G120" s="17">
        <f>IF(A120="","",TEXT(A120,"yyyy-mm"))</f>
        <v/>
      </c>
    </row>
    <row r="121">
      <c r="A121" s="22" t="n"/>
      <c r="B121" s="19" t="n"/>
      <c r="C121" s="19" t="n"/>
      <c r="D121" s="17">
        <f>IF(C121="","",IF(C121&gt;='Quy dinh'!$B$5,"Đạt","Chưa đủ"))</f>
        <v/>
      </c>
      <c r="E121" s="7">
        <f>IF(C121="","",IF(AND(B121&lt;&gt;"",C121&gt;='Quy dinh'!$B$5),'Quy dinh'!$B$6,0))</f>
        <v/>
      </c>
      <c r="F121" s="19" t="n"/>
      <c r="G121" s="17">
        <f>IF(A121="","",TEXT(A121,"yyyy-mm"))</f>
        <v/>
      </c>
    </row>
    <row r="122">
      <c r="A122" s="22" t="n"/>
      <c r="B122" s="19" t="n"/>
      <c r="C122" s="19" t="n"/>
      <c r="D122" s="17">
        <f>IF(C122="","",IF(C122&gt;='Quy dinh'!$B$5,"Đạt","Chưa đủ"))</f>
        <v/>
      </c>
      <c r="E122" s="7">
        <f>IF(C122="","",IF(AND(B122&lt;&gt;"",C122&gt;='Quy dinh'!$B$5),'Quy dinh'!$B$6,0))</f>
        <v/>
      </c>
      <c r="F122" s="19" t="n"/>
      <c r="G122" s="17">
        <f>IF(A122="","",TEXT(A122,"yyyy-mm"))</f>
        <v/>
      </c>
    </row>
    <row r="123">
      <c r="A123" s="22" t="n"/>
      <c r="B123" s="19" t="n"/>
      <c r="C123" s="19" t="n"/>
      <c r="D123" s="17">
        <f>IF(C123="","",IF(C123&gt;='Quy dinh'!$B$5,"Đạt","Chưa đủ"))</f>
        <v/>
      </c>
      <c r="E123" s="7">
        <f>IF(C123="","",IF(AND(B123&lt;&gt;"",C123&gt;='Quy dinh'!$B$5),'Quy dinh'!$B$6,0))</f>
        <v/>
      </c>
      <c r="F123" s="19" t="n"/>
      <c r="G123" s="17">
        <f>IF(A123="","",TEXT(A123,"yyyy-mm"))</f>
        <v/>
      </c>
    </row>
    <row r="124">
      <c r="A124" s="22" t="n"/>
      <c r="B124" s="19" t="n"/>
      <c r="C124" s="19" t="n"/>
      <c r="D124" s="17">
        <f>IF(C124="","",IF(C124&gt;='Quy dinh'!$B$5,"Đạt","Chưa đủ"))</f>
        <v/>
      </c>
      <c r="E124" s="7">
        <f>IF(C124="","",IF(AND(B124&lt;&gt;"",C124&gt;='Quy dinh'!$B$5),'Quy dinh'!$B$6,0))</f>
        <v/>
      </c>
      <c r="F124" s="19" t="n"/>
      <c r="G124" s="17">
        <f>IF(A124="","",TEXT(A124,"yyyy-mm"))</f>
        <v/>
      </c>
    </row>
    <row r="125">
      <c r="A125" s="22" t="n"/>
      <c r="B125" s="19" t="n"/>
      <c r="C125" s="19" t="n"/>
      <c r="D125" s="17">
        <f>IF(C125="","",IF(C125&gt;='Quy dinh'!$B$5,"Đạt","Chưa đủ"))</f>
        <v/>
      </c>
      <c r="E125" s="7">
        <f>IF(C125="","",IF(AND(B125&lt;&gt;"",C125&gt;='Quy dinh'!$B$5),'Quy dinh'!$B$6,0))</f>
        <v/>
      </c>
      <c r="F125" s="19" t="n"/>
      <c r="G125" s="17">
        <f>IF(A125="","",TEXT(A125,"yyyy-mm"))</f>
        <v/>
      </c>
    </row>
    <row r="126">
      <c r="A126" s="22" t="n"/>
      <c r="B126" s="19" t="n"/>
      <c r="C126" s="19" t="n"/>
      <c r="D126" s="17">
        <f>IF(C126="","",IF(C126&gt;='Quy dinh'!$B$5,"Đạt","Chưa đủ"))</f>
        <v/>
      </c>
      <c r="E126" s="7">
        <f>IF(C126="","",IF(AND(B126&lt;&gt;"",C126&gt;='Quy dinh'!$B$5),'Quy dinh'!$B$6,0))</f>
        <v/>
      </c>
      <c r="F126" s="19" t="n"/>
      <c r="G126" s="17">
        <f>IF(A126="","",TEXT(A126,"yyyy-mm"))</f>
        <v/>
      </c>
    </row>
    <row r="127">
      <c r="A127" s="22" t="n"/>
      <c r="B127" s="19" t="n"/>
      <c r="C127" s="19" t="n"/>
      <c r="D127" s="17">
        <f>IF(C127="","",IF(C127&gt;='Quy dinh'!$B$5,"Đạt","Chưa đủ"))</f>
        <v/>
      </c>
      <c r="E127" s="7">
        <f>IF(C127="","",IF(AND(B127&lt;&gt;"",C127&gt;='Quy dinh'!$B$5),'Quy dinh'!$B$6,0))</f>
        <v/>
      </c>
      <c r="F127" s="19" t="n"/>
      <c r="G127" s="17">
        <f>IF(A127="","",TEXT(A127,"yyyy-mm"))</f>
        <v/>
      </c>
    </row>
    <row r="128">
      <c r="A128" s="22" t="n"/>
      <c r="B128" s="19" t="n"/>
      <c r="C128" s="19" t="n"/>
      <c r="D128" s="17">
        <f>IF(C128="","",IF(C128&gt;='Quy dinh'!$B$5,"Đạt","Chưa đủ"))</f>
        <v/>
      </c>
      <c r="E128" s="7">
        <f>IF(C128="","",IF(AND(B128&lt;&gt;"",C128&gt;='Quy dinh'!$B$5),'Quy dinh'!$B$6,0))</f>
        <v/>
      </c>
      <c r="F128" s="19" t="n"/>
      <c r="G128" s="17">
        <f>IF(A128="","",TEXT(A128,"yyyy-mm"))</f>
        <v/>
      </c>
    </row>
    <row r="129">
      <c r="A129" s="22" t="n"/>
      <c r="B129" s="19" t="n"/>
      <c r="C129" s="19" t="n"/>
      <c r="D129" s="17">
        <f>IF(C129="","",IF(C129&gt;='Quy dinh'!$B$5,"Đạt","Chưa đủ"))</f>
        <v/>
      </c>
      <c r="E129" s="7">
        <f>IF(C129="","",IF(AND(B129&lt;&gt;"",C129&gt;='Quy dinh'!$B$5),'Quy dinh'!$B$6,0))</f>
        <v/>
      </c>
      <c r="F129" s="19" t="n"/>
      <c r="G129" s="17">
        <f>IF(A129="","",TEXT(A129,"yyyy-mm"))</f>
        <v/>
      </c>
    </row>
    <row r="130">
      <c r="A130" s="22" t="n"/>
      <c r="B130" s="19" t="n"/>
      <c r="C130" s="19" t="n"/>
      <c r="D130" s="17">
        <f>IF(C130="","",IF(C130&gt;='Quy dinh'!$B$5,"Đạt","Chưa đủ"))</f>
        <v/>
      </c>
      <c r="E130" s="7">
        <f>IF(C130="","",IF(AND(B130&lt;&gt;"",C130&gt;='Quy dinh'!$B$5),'Quy dinh'!$B$6,0))</f>
        <v/>
      </c>
      <c r="F130" s="19" t="n"/>
      <c r="G130" s="17">
        <f>IF(A130="","",TEXT(A130,"yyyy-mm"))</f>
        <v/>
      </c>
    </row>
    <row r="131">
      <c r="A131" s="22" t="n"/>
      <c r="B131" s="19" t="n"/>
      <c r="C131" s="19" t="n"/>
      <c r="D131" s="17">
        <f>IF(C131="","",IF(C131&gt;='Quy dinh'!$B$5,"Đạt","Chưa đủ"))</f>
        <v/>
      </c>
      <c r="E131" s="7">
        <f>IF(C131="","",IF(AND(B131&lt;&gt;"",C131&gt;='Quy dinh'!$B$5),'Quy dinh'!$B$6,0))</f>
        <v/>
      </c>
      <c r="F131" s="19" t="n"/>
      <c r="G131" s="17">
        <f>IF(A131="","",TEXT(A131,"yyyy-mm"))</f>
        <v/>
      </c>
    </row>
    <row r="132">
      <c r="A132" s="22" t="n"/>
      <c r="B132" s="19" t="n"/>
      <c r="C132" s="19" t="n"/>
      <c r="D132" s="17">
        <f>IF(C132="","",IF(C132&gt;='Quy dinh'!$B$5,"Đạt","Chưa đủ"))</f>
        <v/>
      </c>
      <c r="E132" s="7">
        <f>IF(C132="","",IF(AND(B132&lt;&gt;"",C132&gt;='Quy dinh'!$B$5),'Quy dinh'!$B$6,0))</f>
        <v/>
      </c>
      <c r="F132" s="19" t="n"/>
      <c r="G132" s="17">
        <f>IF(A132="","",TEXT(A132,"yyyy-mm"))</f>
        <v/>
      </c>
    </row>
    <row r="133">
      <c r="A133" s="22" t="n"/>
      <c r="B133" s="19" t="n"/>
      <c r="C133" s="19" t="n"/>
      <c r="D133" s="17">
        <f>IF(C133="","",IF(C133&gt;='Quy dinh'!$B$5,"Đạt","Chưa đủ"))</f>
        <v/>
      </c>
      <c r="E133" s="7">
        <f>IF(C133="","",IF(AND(B133&lt;&gt;"",C133&gt;='Quy dinh'!$B$5),'Quy dinh'!$B$6,0))</f>
        <v/>
      </c>
      <c r="F133" s="19" t="n"/>
      <c r="G133" s="17">
        <f>IF(A133="","",TEXT(A133,"yyyy-mm"))</f>
        <v/>
      </c>
    </row>
    <row r="134">
      <c r="A134" s="22" t="n"/>
      <c r="B134" s="19" t="n"/>
      <c r="C134" s="19" t="n"/>
      <c r="D134" s="17">
        <f>IF(C134="","",IF(C134&gt;='Quy dinh'!$B$5,"Đạt","Chưa đủ"))</f>
        <v/>
      </c>
      <c r="E134" s="7">
        <f>IF(C134="","",IF(AND(B134&lt;&gt;"",C134&gt;='Quy dinh'!$B$5),'Quy dinh'!$B$6,0))</f>
        <v/>
      </c>
      <c r="F134" s="19" t="n"/>
      <c r="G134" s="17">
        <f>IF(A134="","",TEXT(A134,"yyyy-mm"))</f>
        <v/>
      </c>
    </row>
    <row r="135">
      <c r="A135" s="22" t="n"/>
      <c r="B135" s="19" t="n"/>
      <c r="C135" s="19" t="n"/>
      <c r="D135" s="17">
        <f>IF(C135="","",IF(C135&gt;='Quy dinh'!$B$5,"Đạt","Chưa đủ"))</f>
        <v/>
      </c>
      <c r="E135" s="7">
        <f>IF(C135="","",IF(AND(B135&lt;&gt;"",C135&gt;='Quy dinh'!$B$5),'Quy dinh'!$B$6,0))</f>
        <v/>
      </c>
      <c r="F135" s="19" t="n"/>
      <c r="G135" s="17">
        <f>IF(A135="","",TEXT(A135,"yyyy-mm"))</f>
        <v/>
      </c>
    </row>
    <row r="136">
      <c r="A136" s="22" t="n"/>
      <c r="B136" s="19" t="n"/>
      <c r="C136" s="19" t="n"/>
      <c r="D136" s="17">
        <f>IF(C136="","",IF(C136&gt;='Quy dinh'!$B$5,"Đạt","Chưa đủ"))</f>
        <v/>
      </c>
      <c r="E136" s="7">
        <f>IF(C136="","",IF(AND(B136&lt;&gt;"",C136&gt;='Quy dinh'!$B$5),'Quy dinh'!$B$6,0))</f>
        <v/>
      </c>
      <c r="F136" s="19" t="n"/>
      <c r="G136" s="17">
        <f>IF(A136="","",TEXT(A136,"yyyy-mm"))</f>
        <v/>
      </c>
    </row>
    <row r="137">
      <c r="A137" s="22" t="n"/>
      <c r="B137" s="19" t="n"/>
      <c r="C137" s="19" t="n"/>
      <c r="D137" s="17">
        <f>IF(C137="","",IF(C137&gt;='Quy dinh'!$B$5,"Đạt","Chưa đủ"))</f>
        <v/>
      </c>
      <c r="E137" s="7">
        <f>IF(C137="","",IF(AND(B137&lt;&gt;"",C137&gt;='Quy dinh'!$B$5),'Quy dinh'!$B$6,0))</f>
        <v/>
      </c>
      <c r="F137" s="19" t="n"/>
      <c r="G137" s="17">
        <f>IF(A137="","",TEXT(A137,"yyyy-mm"))</f>
        <v/>
      </c>
    </row>
    <row r="138">
      <c r="A138" s="22" t="n"/>
      <c r="B138" s="19" t="n"/>
      <c r="C138" s="19" t="n"/>
      <c r="D138" s="17">
        <f>IF(C138="","",IF(C138&gt;='Quy dinh'!$B$5,"Đạt","Chưa đủ"))</f>
        <v/>
      </c>
      <c r="E138" s="7">
        <f>IF(C138="","",IF(AND(B138&lt;&gt;"",C138&gt;='Quy dinh'!$B$5),'Quy dinh'!$B$6,0))</f>
        <v/>
      </c>
      <c r="F138" s="19" t="n"/>
      <c r="G138" s="17">
        <f>IF(A138="","",TEXT(A138,"yyyy-mm"))</f>
        <v/>
      </c>
    </row>
    <row r="139">
      <c r="A139" s="22" t="n"/>
      <c r="B139" s="19" t="n"/>
      <c r="C139" s="19" t="n"/>
      <c r="D139" s="17">
        <f>IF(C139="","",IF(C139&gt;='Quy dinh'!$B$5,"Đạt","Chưa đủ"))</f>
        <v/>
      </c>
      <c r="E139" s="7">
        <f>IF(C139="","",IF(AND(B139&lt;&gt;"",C139&gt;='Quy dinh'!$B$5),'Quy dinh'!$B$6,0))</f>
        <v/>
      </c>
      <c r="F139" s="19" t="n"/>
      <c r="G139" s="17">
        <f>IF(A139="","",TEXT(A139,"yyyy-mm"))</f>
        <v/>
      </c>
    </row>
    <row r="140">
      <c r="A140" s="22" t="n"/>
      <c r="B140" s="19" t="n"/>
      <c r="C140" s="19" t="n"/>
      <c r="D140" s="17">
        <f>IF(C140="","",IF(C140&gt;='Quy dinh'!$B$5,"Đạt","Chưa đủ"))</f>
        <v/>
      </c>
      <c r="E140" s="7">
        <f>IF(C140="","",IF(AND(B140&lt;&gt;"",C140&gt;='Quy dinh'!$B$5),'Quy dinh'!$B$6,0))</f>
        <v/>
      </c>
      <c r="F140" s="19" t="n"/>
      <c r="G140" s="17">
        <f>IF(A140="","",TEXT(A140,"yyyy-mm"))</f>
        <v/>
      </c>
    </row>
    <row r="141">
      <c r="A141" s="22" t="n"/>
      <c r="B141" s="19" t="n"/>
      <c r="C141" s="19" t="n"/>
      <c r="D141" s="17">
        <f>IF(C141="","",IF(C141&gt;='Quy dinh'!$B$5,"Đạt","Chưa đủ"))</f>
        <v/>
      </c>
      <c r="E141" s="7">
        <f>IF(C141="","",IF(AND(B141&lt;&gt;"",C141&gt;='Quy dinh'!$B$5),'Quy dinh'!$B$6,0))</f>
        <v/>
      </c>
      <c r="F141" s="19" t="n"/>
      <c r="G141" s="17">
        <f>IF(A141="","",TEXT(A141,"yyyy-mm"))</f>
        <v/>
      </c>
    </row>
    <row r="142">
      <c r="A142" s="22" t="n"/>
      <c r="B142" s="19" t="n"/>
      <c r="C142" s="19" t="n"/>
      <c r="D142" s="17">
        <f>IF(C142="","",IF(C142&gt;='Quy dinh'!$B$5,"Đạt","Chưa đủ"))</f>
        <v/>
      </c>
      <c r="E142" s="7">
        <f>IF(C142="","",IF(AND(B142&lt;&gt;"",C142&gt;='Quy dinh'!$B$5),'Quy dinh'!$B$6,0))</f>
        <v/>
      </c>
      <c r="F142" s="19" t="n"/>
      <c r="G142" s="17">
        <f>IF(A142="","",TEXT(A142,"yyyy-mm"))</f>
        <v/>
      </c>
    </row>
    <row r="143">
      <c r="A143" s="22" t="n"/>
      <c r="B143" s="19" t="n"/>
      <c r="C143" s="19" t="n"/>
      <c r="D143" s="17">
        <f>IF(C143="","",IF(C143&gt;='Quy dinh'!$B$5,"Đạt","Chưa đủ"))</f>
        <v/>
      </c>
      <c r="E143" s="7">
        <f>IF(C143="","",IF(AND(B143&lt;&gt;"",C143&gt;='Quy dinh'!$B$5),'Quy dinh'!$B$6,0))</f>
        <v/>
      </c>
      <c r="F143" s="19" t="n"/>
      <c r="G143" s="17">
        <f>IF(A143="","",TEXT(A143,"yyyy-mm"))</f>
        <v/>
      </c>
    </row>
    <row r="144">
      <c r="A144" s="22" t="n"/>
      <c r="B144" s="19" t="n"/>
      <c r="C144" s="19" t="n"/>
      <c r="D144" s="17">
        <f>IF(C144="","",IF(C144&gt;='Quy dinh'!$B$5,"Đạt","Chưa đủ"))</f>
        <v/>
      </c>
      <c r="E144" s="7">
        <f>IF(C144="","",IF(AND(B144&lt;&gt;"",C144&gt;='Quy dinh'!$B$5),'Quy dinh'!$B$6,0))</f>
        <v/>
      </c>
      <c r="F144" s="19" t="n"/>
      <c r="G144" s="17">
        <f>IF(A144="","",TEXT(A144,"yyyy-mm"))</f>
        <v/>
      </c>
    </row>
    <row r="145">
      <c r="A145" s="22" t="n"/>
      <c r="B145" s="19" t="n"/>
      <c r="C145" s="19" t="n"/>
      <c r="D145" s="17">
        <f>IF(C145="","",IF(C145&gt;='Quy dinh'!$B$5,"Đạt","Chưa đủ"))</f>
        <v/>
      </c>
      <c r="E145" s="7">
        <f>IF(C145="","",IF(AND(B145&lt;&gt;"",C145&gt;='Quy dinh'!$B$5),'Quy dinh'!$B$6,0))</f>
        <v/>
      </c>
      <c r="F145" s="19" t="n"/>
      <c r="G145" s="17">
        <f>IF(A145="","",TEXT(A145,"yyyy-mm"))</f>
        <v/>
      </c>
    </row>
    <row r="146">
      <c r="A146" s="22" t="n"/>
      <c r="B146" s="19" t="n"/>
      <c r="C146" s="19" t="n"/>
      <c r="D146" s="17">
        <f>IF(C146="","",IF(C146&gt;='Quy dinh'!$B$5,"Đạt","Chưa đủ"))</f>
        <v/>
      </c>
      <c r="E146" s="7">
        <f>IF(C146="","",IF(AND(B146&lt;&gt;"",C146&gt;='Quy dinh'!$B$5),'Quy dinh'!$B$6,0))</f>
        <v/>
      </c>
      <c r="F146" s="19" t="n"/>
      <c r="G146" s="17">
        <f>IF(A146="","",TEXT(A146,"yyyy-mm"))</f>
        <v/>
      </c>
    </row>
    <row r="147">
      <c r="A147" s="22" t="n"/>
      <c r="B147" s="19" t="n"/>
      <c r="C147" s="19" t="n"/>
      <c r="D147" s="17">
        <f>IF(C147="","",IF(C147&gt;='Quy dinh'!$B$5,"Đạt","Chưa đủ"))</f>
        <v/>
      </c>
      <c r="E147" s="7">
        <f>IF(C147="","",IF(AND(B147&lt;&gt;"",C147&gt;='Quy dinh'!$B$5),'Quy dinh'!$B$6,0))</f>
        <v/>
      </c>
      <c r="F147" s="19" t="n"/>
      <c r="G147" s="17">
        <f>IF(A147="","",TEXT(A147,"yyyy-mm"))</f>
        <v/>
      </c>
    </row>
    <row r="148">
      <c r="A148" s="22" t="n"/>
      <c r="B148" s="19" t="n"/>
      <c r="C148" s="19" t="n"/>
      <c r="D148" s="17">
        <f>IF(C148="","",IF(C148&gt;='Quy dinh'!$B$5,"Đạt","Chưa đủ"))</f>
        <v/>
      </c>
      <c r="E148" s="7">
        <f>IF(C148="","",IF(AND(B148&lt;&gt;"",C148&gt;='Quy dinh'!$B$5),'Quy dinh'!$B$6,0))</f>
        <v/>
      </c>
      <c r="F148" s="19" t="n"/>
      <c r="G148" s="17">
        <f>IF(A148="","",TEXT(A148,"yyyy-mm"))</f>
        <v/>
      </c>
    </row>
    <row r="149">
      <c r="A149" s="22" t="n"/>
      <c r="B149" s="19" t="n"/>
      <c r="C149" s="19" t="n"/>
      <c r="D149" s="17">
        <f>IF(C149="","",IF(C149&gt;='Quy dinh'!$B$5,"Đạt","Chưa đủ"))</f>
        <v/>
      </c>
      <c r="E149" s="7">
        <f>IF(C149="","",IF(AND(B149&lt;&gt;"",C149&gt;='Quy dinh'!$B$5),'Quy dinh'!$B$6,0))</f>
        <v/>
      </c>
      <c r="F149" s="19" t="n"/>
      <c r="G149" s="17">
        <f>IF(A149="","",TEXT(A149,"yyyy-mm"))</f>
        <v/>
      </c>
    </row>
    <row r="150">
      <c r="A150" s="22" t="n"/>
      <c r="B150" s="19" t="n"/>
      <c r="C150" s="19" t="n"/>
      <c r="D150" s="17">
        <f>IF(C150="","",IF(C150&gt;='Quy dinh'!$B$5,"Đạt","Chưa đủ"))</f>
        <v/>
      </c>
      <c r="E150" s="7">
        <f>IF(C150="","",IF(AND(B150&lt;&gt;"",C150&gt;='Quy dinh'!$B$5),'Quy dinh'!$B$6,0))</f>
        <v/>
      </c>
      <c r="F150" s="19" t="n"/>
      <c r="G150" s="17">
        <f>IF(A150="","",TEXT(A150,"yyyy-mm"))</f>
        <v/>
      </c>
    </row>
    <row r="151">
      <c r="A151" s="22" t="n"/>
      <c r="B151" s="19" t="n"/>
      <c r="C151" s="19" t="n"/>
      <c r="D151" s="17">
        <f>IF(C151="","",IF(C151&gt;='Quy dinh'!$B$5,"Đạt","Chưa đủ"))</f>
        <v/>
      </c>
      <c r="E151" s="7">
        <f>IF(C151="","",IF(AND(B151&lt;&gt;"",C151&gt;='Quy dinh'!$B$5),'Quy dinh'!$B$6,0))</f>
        <v/>
      </c>
      <c r="F151" s="19" t="n"/>
      <c r="G151" s="17">
        <f>IF(A151="","",TEXT(A151,"yyyy-mm"))</f>
        <v/>
      </c>
    </row>
    <row r="152">
      <c r="A152" s="22" t="n"/>
      <c r="B152" s="19" t="n"/>
      <c r="C152" s="19" t="n"/>
      <c r="D152" s="17">
        <f>IF(C152="","",IF(C152&gt;='Quy dinh'!$B$5,"Đạt","Chưa đủ"))</f>
        <v/>
      </c>
      <c r="E152" s="7">
        <f>IF(C152="","",IF(AND(B152&lt;&gt;"",C152&gt;='Quy dinh'!$B$5),'Quy dinh'!$B$6,0))</f>
        <v/>
      </c>
      <c r="F152" s="19" t="n"/>
      <c r="G152" s="17">
        <f>IF(A152="","",TEXT(A152,"yyyy-mm"))</f>
        <v/>
      </c>
    </row>
    <row r="153">
      <c r="A153" s="22" t="n"/>
      <c r="B153" s="19" t="n"/>
      <c r="C153" s="19" t="n"/>
      <c r="D153" s="17">
        <f>IF(C153="","",IF(C153&gt;='Quy dinh'!$B$5,"Đạt","Chưa đủ"))</f>
        <v/>
      </c>
      <c r="E153" s="7">
        <f>IF(C153="","",IF(AND(B153&lt;&gt;"",C153&gt;='Quy dinh'!$B$5),'Quy dinh'!$B$6,0))</f>
        <v/>
      </c>
      <c r="F153" s="19" t="n"/>
      <c r="G153" s="17">
        <f>IF(A153="","",TEXT(A153,"yyyy-mm"))</f>
        <v/>
      </c>
    </row>
    <row r="154">
      <c r="A154" s="22" t="n"/>
      <c r="B154" s="19" t="n"/>
      <c r="C154" s="19" t="n"/>
      <c r="D154" s="17">
        <f>IF(C154="","",IF(C154&gt;='Quy dinh'!$B$5,"Đạt","Chưa đủ"))</f>
        <v/>
      </c>
      <c r="E154" s="7">
        <f>IF(C154="","",IF(AND(B154&lt;&gt;"",C154&gt;='Quy dinh'!$B$5),'Quy dinh'!$B$6,0))</f>
        <v/>
      </c>
      <c r="F154" s="19" t="n"/>
      <c r="G154" s="17">
        <f>IF(A154="","",TEXT(A154,"yyyy-mm"))</f>
        <v/>
      </c>
    </row>
    <row r="155">
      <c r="A155" s="22" t="n"/>
      <c r="B155" s="19" t="n"/>
      <c r="C155" s="19" t="n"/>
      <c r="D155" s="17">
        <f>IF(C155="","",IF(C155&gt;='Quy dinh'!$B$5,"Đạt","Chưa đủ"))</f>
        <v/>
      </c>
      <c r="E155" s="7">
        <f>IF(C155="","",IF(AND(B155&lt;&gt;"",C155&gt;='Quy dinh'!$B$5),'Quy dinh'!$B$6,0))</f>
        <v/>
      </c>
      <c r="F155" s="19" t="n"/>
      <c r="G155" s="17">
        <f>IF(A155="","",TEXT(A155,"yyyy-mm"))</f>
        <v/>
      </c>
    </row>
    <row r="156">
      <c r="A156" s="22" t="n"/>
      <c r="B156" s="19" t="n"/>
      <c r="C156" s="19" t="n"/>
      <c r="D156" s="17">
        <f>IF(C156="","",IF(C156&gt;='Quy dinh'!$B$5,"Đạt","Chưa đủ"))</f>
        <v/>
      </c>
      <c r="E156" s="7">
        <f>IF(C156="","",IF(AND(B156&lt;&gt;"",C156&gt;='Quy dinh'!$B$5),'Quy dinh'!$B$6,0))</f>
        <v/>
      </c>
      <c r="F156" s="19" t="n"/>
      <c r="G156" s="17">
        <f>IF(A156="","",TEXT(A156,"yyyy-mm"))</f>
        <v/>
      </c>
    </row>
    <row r="157">
      <c r="A157" s="22" t="n"/>
      <c r="B157" s="19" t="n"/>
      <c r="C157" s="19" t="n"/>
      <c r="D157" s="17">
        <f>IF(C157="","",IF(C157&gt;='Quy dinh'!$B$5,"Đạt","Chưa đủ"))</f>
        <v/>
      </c>
      <c r="E157" s="7">
        <f>IF(C157="","",IF(AND(B157&lt;&gt;"",C157&gt;='Quy dinh'!$B$5),'Quy dinh'!$B$6,0))</f>
        <v/>
      </c>
      <c r="F157" s="19" t="n"/>
      <c r="G157" s="17">
        <f>IF(A157="","",TEXT(A157,"yyyy-mm"))</f>
        <v/>
      </c>
    </row>
    <row r="158">
      <c r="A158" s="22" t="n"/>
      <c r="B158" s="19" t="n"/>
      <c r="C158" s="19" t="n"/>
      <c r="D158" s="17">
        <f>IF(C158="","",IF(C158&gt;='Quy dinh'!$B$5,"Đạt","Chưa đủ"))</f>
        <v/>
      </c>
      <c r="E158" s="7">
        <f>IF(C158="","",IF(AND(B158&lt;&gt;"",C158&gt;='Quy dinh'!$B$5),'Quy dinh'!$B$6,0))</f>
        <v/>
      </c>
      <c r="F158" s="19" t="n"/>
      <c r="G158" s="17">
        <f>IF(A158="","",TEXT(A158,"yyyy-mm"))</f>
        <v/>
      </c>
    </row>
    <row r="159">
      <c r="A159" s="22" t="n"/>
      <c r="B159" s="19" t="n"/>
      <c r="C159" s="19" t="n"/>
      <c r="D159" s="17">
        <f>IF(C159="","",IF(C159&gt;='Quy dinh'!$B$5,"Đạt","Chưa đủ"))</f>
        <v/>
      </c>
      <c r="E159" s="7">
        <f>IF(C159="","",IF(AND(B159&lt;&gt;"",C159&gt;='Quy dinh'!$B$5),'Quy dinh'!$B$6,0))</f>
        <v/>
      </c>
      <c r="F159" s="19" t="n"/>
      <c r="G159" s="17">
        <f>IF(A159="","",TEXT(A159,"yyyy-mm"))</f>
        <v/>
      </c>
    </row>
    <row r="160">
      <c r="A160" s="22" t="n"/>
      <c r="B160" s="19" t="n"/>
      <c r="C160" s="19" t="n"/>
      <c r="D160" s="17">
        <f>IF(C160="","",IF(C160&gt;='Quy dinh'!$B$5,"Đạt","Chưa đủ"))</f>
        <v/>
      </c>
      <c r="E160" s="7">
        <f>IF(C160="","",IF(AND(B160&lt;&gt;"",C160&gt;='Quy dinh'!$B$5),'Quy dinh'!$B$6,0))</f>
        <v/>
      </c>
      <c r="F160" s="19" t="n"/>
      <c r="G160" s="17">
        <f>IF(A160="","",TEXT(A160,"yyyy-mm"))</f>
        <v/>
      </c>
    </row>
    <row r="161">
      <c r="A161" s="22" t="n"/>
      <c r="B161" s="19" t="n"/>
      <c r="C161" s="19" t="n"/>
      <c r="D161" s="17">
        <f>IF(C161="","",IF(C161&gt;='Quy dinh'!$B$5,"Đạt","Chưa đủ"))</f>
        <v/>
      </c>
      <c r="E161" s="7">
        <f>IF(C161="","",IF(AND(B161&lt;&gt;"",C161&gt;='Quy dinh'!$B$5),'Quy dinh'!$B$6,0))</f>
        <v/>
      </c>
      <c r="F161" s="19" t="n"/>
      <c r="G161" s="17">
        <f>IF(A161="","",TEXT(A161,"yyyy-mm"))</f>
        <v/>
      </c>
    </row>
    <row r="162">
      <c r="A162" s="22" t="n"/>
      <c r="B162" s="19" t="n"/>
      <c r="C162" s="19" t="n"/>
      <c r="D162" s="17">
        <f>IF(C162="","",IF(C162&gt;='Quy dinh'!$B$5,"Đạt","Chưa đủ"))</f>
        <v/>
      </c>
      <c r="E162" s="7">
        <f>IF(C162="","",IF(AND(B162&lt;&gt;"",C162&gt;='Quy dinh'!$B$5),'Quy dinh'!$B$6,0))</f>
        <v/>
      </c>
      <c r="F162" s="19" t="n"/>
      <c r="G162" s="17">
        <f>IF(A162="","",TEXT(A162,"yyyy-mm"))</f>
        <v/>
      </c>
    </row>
    <row r="163">
      <c r="A163" s="22" t="n"/>
      <c r="B163" s="19" t="n"/>
      <c r="C163" s="19" t="n"/>
      <c r="D163" s="17">
        <f>IF(C163="","",IF(C163&gt;='Quy dinh'!$B$5,"Đạt","Chưa đủ"))</f>
        <v/>
      </c>
      <c r="E163" s="7">
        <f>IF(C163="","",IF(AND(B163&lt;&gt;"",C163&gt;='Quy dinh'!$B$5),'Quy dinh'!$B$6,0))</f>
        <v/>
      </c>
      <c r="F163" s="19" t="n"/>
      <c r="G163" s="17">
        <f>IF(A163="","",TEXT(A163,"yyyy-mm"))</f>
        <v/>
      </c>
    </row>
    <row r="164">
      <c r="A164" s="22" t="n"/>
      <c r="B164" s="19" t="n"/>
      <c r="C164" s="19" t="n"/>
      <c r="D164" s="17">
        <f>IF(C164="","",IF(C164&gt;='Quy dinh'!$B$5,"Đạt","Chưa đủ"))</f>
        <v/>
      </c>
      <c r="E164" s="7">
        <f>IF(C164="","",IF(AND(B164&lt;&gt;"",C164&gt;='Quy dinh'!$B$5),'Quy dinh'!$B$6,0))</f>
        <v/>
      </c>
      <c r="F164" s="19" t="n"/>
      <c r="G164" s="17">
        <f>IF(A164="","",TEXT(A164,"yyyy-mm"))</f>
        <v/>
      </c>
    </row>
    <row r="165">
      <c r="A165" s="22" t="n"/>
      <c r="B165" s="19" t="n"/>
      <c r="C165" s="19" t="n"/>
      <c r="D165" s="17">
        <f>IF(C165="","",IF(C165&gt;='Quy dinh'!$B$5,"Đạt","Chưa đủ"))</f>
        <v/>
      </c>
      <c r="E165" s="7">
        <f>IF(C165="","",IF(AND(B165&lt;&gt;"",C165&gt;='Quy dinh'!$B$5),'Quy dinh'!$B$6,0))</f>
        <v/>
      </c>
      <c r="F165" s="19" t="n"/>
      <c r="G165" s="17">
        <f>IF(A165="","",TEXT(A165,"yyyy-mm"))</f>
        <v/>
      </c>
    </row>
    <row r="166">
      <c r="A166" s="22" t="n"/>
      <c r="B166" s="19" t="n"/>
      <c r="C166" s="19" t="n"/>
      <c r="D166" s="17">
        <f>IF(C166="","",IF(C166&gt;='Quy dinh'!$B$5,"Đạt","Chưa đủ"))</f>
        <v/>
      </c>
      <c r="E166" s="7">
        <f>IF(C166="","",IF(AND(B166&lt;&gt;"",C166&gt;='Quy dinh'!$B$5),'Quy dinh'!$B$6,0))</f>
        <v/>
      </c>
      <c r="F166" s="19" t="n"/>
      <c r="G166" s="17">
        <f>IF(A166="","",TEXT(A166,"yyyy-mm"))</f>
        <v/>
      </c>
    </row>
    <row r="167">
      <c r="A167" s="22" t="n"/>
      <c r="B167" s="19" t="n"/>
      <c r="C167" s="19" t="n"/>
      <c r="D167" s="17">
        <f>IF(C167="","",IF(C167&gt;='Quy dinh'!$B$5,"Đạt","Chưa đủ"))</f>
        <v/>
      </c>
      <c r="E167" s="7">
        <f>IF(C167="","",IF(AND(B167&lt;&gt;"",C167&gt;='Quy dinh'!$B$5),'Quy dinh'!$B$6,0))</f>
        <v/>
      </c>
      <c r="F167" s="19" t="n"/>
      <c r="G167" s="17">
        <f>IF(A167="","",TEXT(A167,"yyyy-mm"))</f>
        <v/>
      </c>
    </row>
    <row r="168">
      <c r="A168" s="22" t="n"/>
      <c r="B168" s="19" t="n"/>
      <c r="C168" s="19" t="n"/>
      <c r="D168" s="17">
        <f>IF(C168="","",IF(C168&gt;='Quy dinh'!$B$5,"Đạt","Chưa đủ"))</f>
        <v/>
      </c>
      <c r="E168" s="7">
        <f>IF(C168="","",IF(AND(B168&lt;&gt;"",C168&gt;='Quy dinh'!$B$5),'Quy dinh'!$B$6,0))</f>
        <v/>
      </c>
      <c r="F168" s="19" t="n"/>
      <c r="G168" s="17">
        <f>IF(A168="","",TEXT(A168,"yyyy-mm"))</f>
        <v/>
      </c>
    </row>
    <row r="169">
      <c r="A169" s="22" t="n"/>
      <c r="B169" s="19" t="n"/>
      <c r="C169" s="19" t="n"/>
      <c r="D169" s="17">
        <f>IF(C169="","",IF(C169&gt;='Quy dinh'!$B$5,"Đạt","Chưa đủ"))</f>
        <v/>
      </c>
      <c r="E169" s="7">
        <f>IF(C169="","",IF(AND(B169&lt;&gt;"",C169&gt;='Quy dinh'!$B$5),'Quy dinh'!$B$6,0))</f>
        <v/>
      </c>
      <c r="F169" s="19" t="n"/>
      <c r="G169" s="17">
        <f>IF(A169="","",TEXT(A169,"yyyy-mm"))</f>
        <v/>
      </c>
    </row>
    <row r="170">
      <c r="A170" s="22" t="n"/>
      <c r="B170" s="19" t="n"/>
      <c r="C170" s="19" t="n"/>
      <c r="D170" s="17">
        <f>IF(C170="","",IF(C170&gt;='Quy dinh'!$B$5,"Đạt","Chưa đủ"))</f>
        <v/>
      </c>
      <c r="E170" s="7">
        <f>IF(C170="","",IF(AND(B170&lt;&gt;"",C170&gt;='Quy dinh'!$B$5),'Quy dinh'!$B$6,0))</f>
        <v/>
      </c>
      <c r="F170" s="19" t="n"/>
      <c r="G170" s="17">
        <f>IF(A170="","",TEXT(A170,"yyyy-mm"))</f>
        <v/>
      </c>
    </row>
    <row r="171">
      <c r="A171" s="22" t="n"/>
      <c r="B171" s="19" t="n"/>
      <c r="C171" s="19" t="n"/>
      <c r="D171" s="17">
        <f>IF(C171="","",IF(C171&gt;='Quy dinh'!$B$5,"Đạt","Chưa đủ"))</f>
        <v/>
      </c>
      <c r="E171" s="7">
        <f>IF(C171="","",IF(AND(B171&lt;&gt;"",C171&gt;='Quy dinh'!$B$5),'Quy dinh'!$B$6,0))</f>
        <v/>
      </c>
      <c r="F171" s="19" t="n"/>
      <c r="G171" s="17">
        <f>IF(A171="","",TEXT(A171,"yyyy-mm"))</f>
        <v/>
      </c>
    </row>
    <row r="172">
      <c r="A172" s="22" t="n"/>
      <c r="B172" s="19" t="n"/>
      <c r="C172" s="19" t="n"/>
      <c r="D172" s="17">
        <f>IF(C172="","",IF(C172&gt;='Quy dinh'!$B$5,"Đạt","Chưa đủ"))</f>
        <v/>
      </c>
      <c r="E172" s="7">
        <f>IF(C172="","",IF(AND(B172&lt;&gt;"",C172&gt;='Quy dinh'!$B$5),'Quy dinh'!$B$6,0))</f>
        <v/>
      </c>
      <c r="F172" s="19" t="n"/>
      <c r="G172" s="17">
        <f>IF(A172="","",TEXT(A172,"yyyy-mm"))</f>
        <v/>
      </c>
    </row>
    <row r="173">
      <c r="A173" s="22" t="n"/>
      <c r="B173" s="19" t="n"/>
      <c r="C173" s="19" t="n"/>
      <c r="D173" s="17">
        <f>IF(C173="","",IF(C173&gt;='Quy dinh'!$B$5,"Đạt","Chưa đủ"))</f>
        <v/>
      </c>
      <c r="E173" s="7">
        <f>IF(C173="","",IF(AND(B173&lt;&gt;"",C173&gt;='Quy dinh'!$B$5),'Quy dinh'!$B$6,0))</f>
        <v/>
      </c>
      <c r="F173" s="19" t="n"/>
      <c r="G173" s="17">
        <f>IF(A173="","",TEXT(A173,"yyyy-mm"))</f>
        <v/>
      </c>
    </row>
    <row r="174">
      <c r="A174" s="22" t="n"/>
      <c r="B174" s="19" t="n"/>
      <c r="C174" s="19" t="n"/>
      <c r="D174" s="17">
        <f>IF(C174="","",IF(C174&gt;='Quy dinh'!$B$5,"Đạt","Chưa đủ"))</f>
        <v/>
      </c>
      <c r="E174" s="7">
        <f>IF(C174="","",IF(AND(B174&lt;&gt;"",C174&gt;='Quy dinh'!$B$5),'Quy dinh'!$B$6,0))</f>
        <v/>
      </c>
      <c r="F174" s="19" t="n"/>
      <c r="G174" s="17">
        <f>IF(A174="","",TEXT(A174,"yyyy-mm"))</f>
        <v/>
      </c>
    </row>
    <row r="175">
      <c r="A175" s="22" t="n"/>
      <c r="B175" s="19" t="n"/>
      <c r="C175" s="19" t="n"/>
      <c r="D175" s="17">
        <f>IF(C175="","",IF(C175&gt;='Quy dinh'!$B$5,"Đạt","Chưa đủ"))</f>
        <v/>
      </c>
      <c r="E175" s="7">
        <f>IF(C175="","",IF(AND(B175&lt;&gt;"",C175&gt;='Quy dinh'!$B$5),'Quy dinh'!$B$6,0))</f>
        <v/>
      </c>
      <c r="F175" s="19" t="n"/>
      <c r="G175" s="17">
        <f>IF(A175="","",TEXT(A175,"yyyy-mm"))</f>
        <v/>
      </c>
    </row>
    <row r="176">
      <c r="A176" s="22" t="n"/>
      <c r="B176" s="19" t="n"/>
      <c r="C176" s="19" t="n"/>
      <c r="D176" s="17">
        <f>IF(C176="","",IF(C176&gt;='Quy dinh'!$B$5,"Đạt","Chưa đủ"))</f>
        <v/>
      </c>
      <c r="E176" s="7">
        <f>IF(C176="","",IF(AND(B176&lt;&gt;"",C176&gt;='Quy dinh'!$B$5),'Quy dinh'!$B$6,0))</f>
        <v/>
      </c>
      <c r="F176" s="19" t="n"/>
      <c r="G176" s="17">
        <f>IF(A176="","",TEXT(A176,"yyyy-mm"))</f>
        <v/>
      </c>
    </row>
    <row r="177">
      <c r="A177" s="22" t="n"/>
      <c r="B177" s="19" t="n"/>
      <c r="C177" s="19" t="n"/>
      <c r="D177" s="17">
        <f>IF(C177="","",IF(C177&gt;='Quy dinh'!$B$5,"Đạt","Chưa đủ"))</f>
        <v/>
      </c>
      <c r="E177" s="7">
        <f>IF(C177="","",IF(AND(B177&lt;&gt;"",C177&gt;='Quy dinh'!$B$5),'Quy dinh'!$B$6,0))</f>
        <v/>
      </c>
      <c r="F177" s="19" t="n"/>
      <c r="G177" s="17">
        <f>IF(A177="","",TEXT(A177,"yyyy-mm"))</f>
        <v/>
      </c>
    </row>
    <row r="178">
      <c r="A178" s="22" t="n"/>
      <c r="B178" s="19" t="n"/>
      <c r="C178" s="19" t="n"/>
      <c r="D178" s="17">
        <f>IF(C178="","",IF(C178&gt;='Quy dinh'!$B$5,"Đạt","Chưa đủ"))</f>
        <v/>
      </c>
      <c r="E178" s="7">
        <f>IF(C178="","",IF(AND(B178&lt;&gt;"",C178&gt;='Quy dinh'!$B$5),'Quy dinh'!$B$6,0))</f>
        <v/>
      </c>
      <c r="F178" s="19" t="n"/>
      <c r="G178" s="17">
        <f>IF(A178="","",TEXT(A178,"yyyy-mm"))</f>
        <v/>
      </c>
    </row>
    <row r="179">
      <c r="A179" s="22" t="n"/>
      <c r="B179" s="19" t="n"/>
      <c r="C179" s="19" t="n"/>
      <c r="D179" s="17">
        <f>IF(C179="","",IF(C179&gt;='Quy dinh'!$B$5,"Đạt","Chưa đủ"))</f>
        <v/>
      </c>
      <c r="E179" s="7">
        <f>IF(C179="","",IF(AND(B179&lt;&gt;"",C179&gt;='Quy dinh'!$B$5),'Quy dinh'!$B$6,0))</f>
        <v/>
      </c>
      <c r="F179" s="19" t="n"/>
      <c r="G179" s="17">
        <f>IF(A179="","",TEXT(A179,"yyyy-mm"))</f>
        <v/>
      </c>
    </row>
    <row r="180">
      <c r="A180" s="22" t="n"/>
      <c r="B180" s="19" t="n"/>
      <c r="C180" s="19" t="n"/>
      <c r="D180" s="17">
        <f>IF(C180="","",IF(C180&gt;='Quy dinh'!$B$5,"Đạt","Chưa đủ"))</f>
        <v/>
      </c>
      <c r="E180" s="7">
        <f>IF(C180="","",IF(AND(B180&lt;&gt;"",C180&gt;='Quy dinh'!$B$5),'Quy dinh'!$B$6,0))</f>
        <v/>
      </c>
      <c r="F180" s="19" t="n"/>
      <c r="G180" s="17">
        <f>IF(A180="","",TEXT(A180,"yyyy-mm"))</f>
        <v/>
      </c>
    </row>
    <row r="181">
      <c r="A181" s="22" t="n"/>
      <c r="B181" s="19" t="n"/>
      <c r="C181" s="19" t="n"/>
      <c r="D181" s="17">
        <f>IF(C181="","",IF(C181&gt;='Quy dinh'!$B$5,"Đạt","Chưa đủ"))</f>
        <v/>
      </c>
      <c r="E181" s="7">
        <f>IF(C181="","",IF(AND(B181&lt;&gt;"",C181&gt;='Quy dinh'!$B$5),'Quy dinh'!$B$6,0))</f>
        <v/>
      </c>
      <c r="F181" s="19" t="n"/>
      <c r="G181" s="17">
        <f>IF(A181="","",TEXT(A181,"yyyy-mm"))</f>
        <v/>
      </c>
    </row>
    <row r="182">
      <c r="A182" s="22" t="n"/>
      <c r="B182" s="19" t="n"/>
      <c r="C182" s="19" t="n"/>
      <c r="D182" s="17">
        <f>IF(C182="","",IF(C182&gt;='Quy dinh'!$B$5,"Đạt","Chưa đủ"))</f>
        <v/>
      </c>
      <c r="E182" s="7">
        <f>IF(C182="","",IF(AND(B182&lt;&gt;"",C182&gt;='Quy dinh'!$B$5),'Quy dinh'!$B$6,0))</f>
        <v/>
      </c>
      <c r="F182" s="19" t="n"/>
      <c r="G182" s="17">
        <f>IF(A182="","",TEXT(A182,"yyyy-mm"))</f>
        <v/>
      </c>
    </row>
    <row r="183">
      <c r="A183" s="22" t="n"/>
      <c r="B183" s="19" t="n"/>
      <c r="C183" s="19" t="n"/>
      <c r="D183" s="17">
        <f>IF(C183="","",IF(C183&gt;='Quy dinh'!$B$5,"Đạt","Chưa đủ"))</f>
        <v/>
      </c>
      <c r="E183" s="7">
        <f>IF(C183="","",IF(AND(B183&lt;&gt;"",C183&gt;='Quy dinh'!$B$5),'Quy dinh'!$B$6,0))</f>
        <v/>
      </c>
      <c r="F183" s="19" t="n"/>
      <c r="G183" s="17">
        <f>IF(A183="","",TEXT(A183,"yyyy-mm"))</f>
        <v/>
      </c>
    </row>
    <row r="184">
      <c r="A184" s="22" t="n"/>
      <c r="B184" s="19" t="n"/>
      <c r="C184" s="19" t="n"/>
      <c r="D184" s="17">
        <f>IF(C184="","",IF(C184&gt;='Quy dinh'!$B$5,"Đạt","Chưa đủ"))</f>
        <v/>
      </c>
      <c r="E184" s="7">
        <f>IF(C184="","",IF(AND(B184&lt;&gt;"",C184&gt;='Quy dinh'!$B$5),'Quy dinh'!$B$6,0))</f>
        <v/>
      </c>
      <c r="F184" s="19" t="n"/>
      <c r="G184" s="17">
        <f>IF(A184="","",TEXT(A184,"yyyy-mm"))</f>
        <v/>
      </c>
    </row>
    <row r="185">
      <c r="A185" s="22" t="n"/>
      <c r="B185" s="19" t="n"/>
      <c r="C185" s="19" t="n"/>
      <c r="D185" s="17">
        <f>IF(C185="","",IF(C185&gt;='Quy dinh'!$B$5,"Đạt","Chưa đủ"))</f>
        <v/>
      </c>
      <c r="E185" s="7">
        <f>IF(C185="","",IF(AND(B185&lt;&gt;"",C185&gt;='Quy dinh'!$B$5),'Quy dinh'!$B$6,0))</f>
        <v/>
      </c>
      <c r="F185" s="19" t="n"/>
      <c r="G185" s="17">
        <f>IF(A185="","",TEXT(A185,"yyyy-mm"))</f>
        <v/>
      </c>
    </row>
    <row r="186">
      <c r="A186" s="22" t="n"/>
      <c r="B186" s="19" t="n"/>
      <c r="C186" s="19" t="n"/>
      <c r="D186" s="17">
        <f>IF(C186="","",IF(C186&gt;='Quy dinh'!$B$5,"Đạt","Chưa đủ"))</f>
        <v/>
      </c>
      <c r="E186" s="7">
        <f>IF(C186="","",IF(AND(B186&lt;&gt;"",C186&gt;='Quy dinh'!$B$5),'Quy dinh'!$B$6,0))</f>
        <v/>
      </c>
      <c r="F186" s="19" t="n"/>
      <c r="G186" s="17">
        <f>IF(A186="","",TEXT(A186,"yyyy-mm"))</f>
        <v/>
      </c>
    </row>
    <row r="187">
      <c r="A187" s="22" t="n"/>
      <c r="B187" s="19" t="n"/>
      <c r="C187" s="19" t="n"/>
      <c r="D187" s="17">
        <f>IF(C187="","",IF(C187&gt;='Quy dinh'!$B$5,"Đạt","Chưa đủ"))</f>
        <v/>
      </c>
      <c r="E187" s="7">
        <f>IF(C187="","",IF(AND(B187&lt;&gt;"",C187&gt;='Quy dinh'!$B$5),'Quy dinh'!$B$6,0))</f>
        <v/>
      </c>
      <c r="F187" s="19" t="n"/>
      <c r="G187" s="17">
        <f>IF(A187="","",TEXT(A187,"yyyy-mm"))</f>
        <v/>
      </c>
    </row>
    <row r="188">
      <c r="A188" s="22" t="n"/>
      <c r="B188" s="19" t="n"/>
      <c r="C188" s="19" t="n"/>
      <c r="D188" s="17">
        <f>IF(C188="","",IF(C188&gt;='Quy dinh'!$B$5,"Đạt","Chưa đủ"))</f>
        <v/>
      </c>
      <c r="E188" s="7">
        <f>IF(C188="","",IF(AND(B188&lt;&gt;"",C188&gt;='Quy dinh'!$B$5),'Quy dinh'!$B$6,0))</f>
        <v/>
      </c>
      <c r="F188" s="19" t="n"/>
      <c r="G188" s="17">
        <f>IF(A188="","",TEXT(A188,"yyyy-mm"))</f>
        <v/>
      </c>
    </row>
    <row r="189">
      <c r="A189" s="22" t="n"/>
      <c r="B189" s="19" t="n"/>
      <c r="C189" s="19" t="n"/>
      <c r="D189" s="17">
        <f>IF(C189="","",IF(C189&gt;='Quy dinh'!$B$5,"Đạt","Chưa đủ"))</f>
        <v/>
      </c>
      <c r="E189" s="7">
        <f>IF(C189="","",IF(AND(B189&lt;&gt;"",C189&gt;='Quy dinh'!$B$5),'Quy dinh'!$B$6,0))</f>
        <v/>
      </c>
      <c r="F189" s="19" t="n"/>
      <c r="G189" s="17">
        <f>IF(A189="","",TEXT(A189,"yyyy-mm"))</f>
        <v/>
      </c>
    </row>
    <row r="190">
      <c r="A190" s="22" t="n"/>
      <c r="B190" s="19" t="n"/>
      <c r="C190" s="19" t="n"/>
      <c r="D190" s="17">
        <f>IF(C190="","",IF(C190&gt;='Quy dinh'!$B$5,"Đạt","Chưa đủ"))</f>
        <v/>
      </c>
      <c r="E190" s="7">
        <f>IF(C190="","",IF(AND(B190&lt;&gt;"",C190&gt;='Quy dinh'!$B$5),'Quy dinh'!$B$6,0))</f>
        <v/>
      </c>
      <c r="F190" s="19" t="n"/>
      <c r="G190" s="17">
        <f>IF(A190="","",TEXT(A190,"yyyy-mm"))</f>
        <v/>
      </c>
    </row>
    <row r="191">
      <c r="A191" s="22" t="n"/>
      <c r="B191" s="19" t="n"/>
      <c r="C191" s="19" t="n"/>
      <c r="D191" s="17">
        <f>IF(C191="","",IF(C191&gt;='Quy dinh'!$B$5,"Đạt","Chưa đủ"))</f>
        <v/>
      </c>
      <c r="E191" s="7">
        <f>IF(C191="","",IF(AND(B191&lt;&gt;"",C191&gt;='Quy dinh'!$B$5),'Quy dinh'!$B$6,0))</f>
        <v/>
      </c>
      <c r="F191" s="19" t="n"/>
      <c r="G191" s="17">
        <f>IF(A191="","",TEXT(A191,"yyyy-mm"))</f>
        <v/>
      </c>
    </row>
    <row r="192">
      <c r="A192" s="22" t="n"/>
      <c r="B192" s="19" t="n"/>
      <c r="C192" s="19" t="n"/>
      <c r="D192" s="17">
        <f>IF(C192="","",IF(C192&gt;='Quy dinh'!$B$5,"Đạt","Chưa đủ"))</f>
        <v/>
      </c>
      <c r="E192" s="7">
        <f>IF(C192="","",IF(AND(B192&lt;&gt;"",C192&gt;='Quy dinh'!$B$5),'Quy dinh'!$B$6,0))</f>
        <v/>
      </c>
      <c r="F192" s="19" t="n"/>
      <c r="G192" s="17">
        <f>IF(A192="","",TEXT(A192,"yyyy-mm"))</f>
        <v/>
      </c>
    </row>
    <row r="193">
      <c r="A193" s="22" t="n"/>
      <c r="B193" s="19" t="n"/>
      <c r="C193" s="19" t="n"/>
      <c r="D193" s="17">
        <f>IF(C193="","",IF(C193&gt;='Quy dinh'!$B$5,"Đạt","Chưa đủ"))</f>
        <v/>
      </c>
      <c r="E193" s="7">
        <f>IF(C193="","",IF(AND(B193&lt;&gt;"",C193&gt;='Quy dinh'!$B$5),'Quy dinh'!$B$6,0))</f>
        <v/>
      </c>
      <c r="F193" s="19" t="n"/>
      <c r="G193" s="17">
        <f>IF(A193="","",TEXT(A193,"yyyy-mm"))</f>
        <v/>
      </c>
    </row>
    <row r="194">
      <c r="A194" s="22" t="n"/>
      <c r="B194" s="19" t="n"/>
      <c r="C194" s="19" t="n"/>
      <c r="D194" s="17">
        <f>IF(C194="","",IF(C194&gt;='Quy dinh'!$B$5,"Đạt","Chưa đủ"))</f>
        <v/>
      </c>
      <c r="E194" s="7">
        <f>IF(C194="","",IF(AND(B194&lt;&gt;"",C194&gt;='Quy dinh'!$B$5),'Quy dinh'!$B$6,0))</f>
        <v/>
      </c>
      <c r="F194" s="19" t="n"/>
      <c r="G194" s="17">
        <f>IF(A194="","",TEXT(A194,"yyyy-mm"))</f>
        <v/>
      </c>
    </row>
    <row r="195">
      <c r="A195" s="22" t="n"/>
      <c r="B195" s="19" t="n"/>
      <c r="C195" s="19" t="n"/>
      <c r="D195" s="17">
        <f>IF(C195="","",IF(C195&gt;='Quy dinh'!$B$5,"Đạt","Chưa đủ"))</f>
        <v/>
      </c>
      <c r="E195" s="7">
        <f>IF(C195="","",IF(AND(B195&lt;&gt;"",C195&gt;='Quy dinh'!$B$5),'Quy dinh'!$B$6,0))</f>
        <v/>
      </c>
      <c r="F195" s="19" t="n"/>
      <c r="G195" s="17">
        <f>IF(A195="","",TEXT(A195,"yyyy-mm"))</f>
        <v/>
      </c>
    </row>
    <row r="196">
      <c r="A196" s="22" t="n"/>
      <c r="B196" s="19" t="n"/>
      <c r="C196" s="19" t="n"/>
      <c r="D196" s="17">
        <f>IF(C196="","",IF(C196&gt;='Quy dinh'!$B$5,"Đạt","Chưa đủ"))</f>
        <v/>
      </c>
      <c r="E196" s="7">
        <f>IF(C196="","",IF(AND(B196&lt;&gt;"",C196&gt;='Quy dinh'!$B$5),'Quy dinh'!$B$6,0))</f>
        <v/>
      </c>
      <c r="F196" s="19" t="n"/>
      <c r="G196" s="17">
        <f>IF(A196="","",TEXT(A196,"yyyy-mm"))</f>
        <v/>
      </c>
    </row>
    <row r="197">
      <c r="A197" s="22" t="n"/>
      <c r="B197" s="19" t="n"/>
      <c r="C197" s="19" t="n"/>
      <c r="D197" s="17">
        <f>IF(C197="","",IF(C197&gt;='Quy dinh'!$B$5,"Đạt","Chưa đủ"))</f>
        <v/>
      </c>
      <c r="E197" s="7">
        <f>IF(C197="","",IF(AND(B197&lt;&gt;"",C197&gt;='Quy dinh'!$B$5),'Quy dinh'!$B$6,0))</f>
        <v/>
      </c>
      <c r="F197" s="19" t="n"/>
      <c r="G197" s="17">
        <f>IF(A197="","",TEXT(A197,"yyyy-mm"))</f>
        <v/>
      </c>
    </row>
    <row r="198">
      <c r="A198" s="22" t="n"/>
      <c r="B198" s="19" t="n"/>
      <c r="C198" s="19" t="n"/>
      <c r="D198" s="17">
        <f>IF(C198="","",IF(C198&gt;='Quy dinh'!$B$5,"Đạt","Chưa đủ"))</f>
        <v/>
      </c>
      <c r="E198" s="7">
        <f>IF(C198="","",IF(AND(B198&lt;&gt;"",C198&gt;='Quy dinh'!$B$5),'Quy dinh'!$B$6,0))</f>
        <v/>
      </c>
      <c r="F198" s="19" t="n"/>
      <c r="G198" s="17">
        <f>IF(A198="","",TEXT(A198,"yyyy-mm"))</f>
        <v/>
      </c>
    </row>
    <row r="199">
      <c r="A199" s="22" t="n"/>
      <c r="B199" s="19" t="n"/>
      <c r="C199" s="19" t="n"/>
      <c r="D199" s="17">
        <f>IF(C199="","",IF(C199&gt;='Quy dinh'!$B$5,"Đạt","Chưa đủ"))</f>
        <v/>
      </c>
      <c r="E199" s="7">
        <f>IF(C199="","",IF(AND(B199&lt;&gt;"",C199&gt;='Quy dinh'!$B$5),'Quy dinh'!$B$6,0))</f>
        <v/>
      </c>
      <c r="F199" s="19" t="n"/>
      <c r="G199" s="17">
        <f>IF(A199="","",TEXT(A199,"yyyy-mm"))</f>
        <v/>
      </c>
    </row>
    <row r="200">
      <c r="A200" s="22" t="n"/>
      <c r="B200" s="19" t="n"/>
      <c r="C200" s="19" t="n"/>
      <c r="D200" s="17">
        <f>IF(C200="","",IF(C200&gt;='Quy dinh'!$B$5,"Đạt","Chưa đủ"))</f>
        <v/>
      </c>
      <c r="E200" s="7">
        <f>IF(C200="","",IF(AND(B200&lt;&gt;"",C200&gt;='Quy dinh'!$B$5),'Quy dinh'!$B$6,0))</f>
        <v/>
      </c>
      <c r="F200" s="19" t="n"/>
      <c r="G200" s="17">
        <f>IF(A200="","",TEXT(A200,"yyyy-mm"))</f>
        <v/>
      </c>
    </row>
    <row r="201">
      <c r="A201" s="22" t="n"/>
      <c r="B201" s="19" t="n"/>
      <c r="C201" s="19" t="n"/>
      <c r="D201" s="17">
        <f>IF(C201="","",IF(C201&gt;='Quy dinh'!$B$5,"Đạt","Chưa đủ"))</f>
        <v/>
      </c>
      <c r="E201" s="7">
        <f>IF(C201="","",IF(AND(B201&lt;&gt;"",C201&gt;='Quy dinh'!$B$5),'Quy dinh'!$B$6,0))</f>
        <v/>
      </c>
      <c r="F201" s="19" t="n"/>
      <c r="G201" s="17">
        <f>IF(A201="","",TEXT(A201,"yyyy-mm"))</f>
        <v/>
      </c>
    </row>
    <row r="202">
      <c r="A202" s="22" t="n"/>
      <c r="B202" s="19" t="n"/>
      <c r="C202" s="19" t="n"/>
      <c r="D202" s="17">
        <f>IF(C202="","",IF(C202&gt;='Quy dinh'!$B$5,"Đạt","Chưa đủ"))</f>
        <v/>
      </c>
      <c r="E202" s="7">
        <f>IF(C202="","",IF(AND(B202&lt;&gt;"",C202&gt;='Quy dinh'!$B$5),'Quy dinh'!$B$6,0))</f>
        <v/>
      </c>
      <c r="F202" s="19" t="n"/>
      <c r="G202" s="17">
        <f>IF(A202="","",TEXT(A202,"yyyy-mm"))</f>
        <v/>
      </c>
    </row>
    <row r="203">
      <c r="A203" s="22" t="n"/>
      <c r="B203" s="19" t="n"/>
      <c r="C203" s="19" t="n"/>
      <c r="D203" s="17">
        <f>IF(C203="","",IF(C203&gt;='Quy dinh'!$B$5,"Đạt","Chưa đủ"))</f>
        <v/>
      </c>
      <c r="E203" s="7">
        <f>IF(C203="","",IF(AND(B203&lt;&gt;"",C203&gt;='Quy dinh'!$B$5),'Quy dinh'!$B$6,0))</f>
        <v/>
      </c>
      <c r="F203" s="19" t="n"/>
      <c r="G203" s="17">
        <f>IF(A203="","",TEXT(A203,"yyyy-mm"))</f>
        <v/>
      </c>
    </row>
    <row r="204">
      <c r="A204" s="22" t="n"/>
      <c r="B204" s="19" t="n"/>
      <c r="C204" s="19" t="n"/>
      <c r="D204" s="17">
        <f>IF(C204="","",IF(C204&gt;='Quy dinh'!$B$5,"Đạt","Chưa đủ"))</f>
        <v/>
      </c>
      <c r="E204" s="7">
        <f>IF(C204="","",IF(AND(B204&lt;&gt;"",C204&gt;='Quy dinh'!$B$5),'Quy dinh'!$B$6,0))</f>
        <v/>
      </c>
      <c r="F204" s="19" t="n"/>
      <c r="G204" s="17">
        <f>IF(A204="","",TEXT(A204,"yyyy-mm"))</f>
        <v/>
      </c>
    </row>
    <row r="205">
      <c r="A205" s="22" t="n"/>
      <c r="B205" s="19" t="n"/>
      <c r="C205" s="19" t="n"/>
      <c r="D205" s="17">
        <f>IF(C205="","",IF(C205&gt;='Quy dinh'!$B$5,"Đạt","Chưa đủ"))</f>
        <v/>
      </c>
      <c r="E205" s="7">
        <f>IF(C205="","",IF(AND(B205&lt;&gt;"",C205&gt;='Quy dinh'!$B$5),'Quy dinh'!$B$6,0))</f>
        <v/>
      </c>
      <c r="F205" s="19" t="n"/>
      <c r="G205" s="17">
        <f>IF(A205="","",TEXT(A205,"yyyy-mm"))</f>
        <v/>
      </c>
    </row>
    <row r="206">
      <c r="A206" s="22" t="n"/>
      <c r="B206" s="19" t="n"/>
      <c r="C206" s="19" t="n"/>
      <c r="D206" s="17">
        <f>IF(C206="","",IF(C206&gt;='Quy dinh'!$B$5,"Đạt","Chưa đủ"))</f>
        <v/>
      </c>
      <c r="E206" s="7">
        <f>IF(C206="","",IF(AND(B206&lt;&gt;"",C206&gt;='Quy dinh'!$B$5),'Quy dinh'!$B$6,0))</f>
        <v/>
      </c>
      <c r="F206" s="19" t="n"/>
      <c r="G206" s="17">
        <f>IF(A206="","",TEXT(A206,"yyyy-mm"))</f>
        <v/>
      </c>
    </row>
    <row r="207">
      <c r="A207" s="22" t="n"/>
      <c r="B207" s="19" t="n"/>
      <c r="C207" s="19" t="n"/>
      <c r="D207" s="17">
        <f>IF(C207="","",IF(C207&gt;='Quy dinh'!$B$5,"Đạt","Chưa đủ"))</f>
        <v/>
      </c>
      <c r="E207" s="7">
        <f>IF(C207="","",IF(AND(B207&lt;&gt;"",C207&gt;='Quy dinh'!$B$5),'Quy dinh'!$B$6,0))</f>
        <v/>
      </c>
      <c r="F207" s="19" t="n"/>
      <c r="G207" s="17">
        <f>IF(A207="","",TEXT(A207,"yyyy-mm"))</f>
        <v/>
      </c>
    </row>
    <row r="208">
      <c r="A208" s="22" t="n"/>
      <c r="B208" s="19" t="n"/>
      <c r="C208" s="19" t="n"/>
      <c r="D208" s="17">
        <f>IF(C208="","",IF(C208&gt;='Quy dinh'!$B$5,"Đạt","Chưa đủ"))</f>
        <v/>
      </c>
      <c r="E208" s="7">
        <f>IF(C208="","",IF(AND(B208&lt;&gt;"",C208&gt;='Quy dinh'!$B$5),'Quy dinh'!$B$6,0))</f>
        <v/>
      </c>
      <c r="F208" s="19" t="n"/>
      <c r="G208" s="17">
        <f>IF(A208="","",TEXT(A208,"yyyy-mm"))</f>
        <v/>
      </c>
    </row>
    <row r="209">
      <c r="A209" s="22" t="n"/>
      <c r="B209" s="19" t="n"/>
      <c r="C209" s="19" t="n"/>
      <c r="D209" s="17">
        <f>IF(C209="","",IF(C209&gt;='Quy dinh'!$B$5,"Đạt","Chưa đủ"))</f>
        <v/>
      </c>
      <c r="E209" s="7">
        <f>IF(C209="","",IF(AND(B209&lt;&gt;"",C209&gt;='Quy dinh'!$B$5),'Quy dinh'!$B$6,0))</f>
        <v/>
      </c>
      <c r="F209" s="19" t="n"/>
      <c r="G209" s="17">
        <f>IF(A209="","",TEXT(A209,"yyyy-mm"))</f>
        <v/>
      </c>
    </row>
    <row r="210">
      <c r="A210" s="22" t="n"/>
      <c r="B210" s="19" t="n"/>
      <c r="C210" s="19" t="n"/>
      <c r="D210" s="17">
        <f>IF(C210="","",IF(C210&gt;='Quy dinh'!$B$5,"Đạt","Chưa đủ"))</f>
        <v/>
      </c>
      <c r="E210" s="7">
        <f>IF(C210="","",IF(AND(B210&lt;&gt;"",C210&gt;='Quy dinh'!$B$5),'Quy dinh'!$B$6,0))</f>
        <v/>
      </c>
      <c r="F210" s="19" t="n"/>
      <c r="G210" s="17">
        <f>IF(A210="","",TEXT(A210,"yyyy-mm"))</f>
        <v/>
      </c>
    </row>
    <row r="211">
      <c r="A211" s="22" t="n"/>
      <c r="B211" s="19" t="n"/>
      <c r="C211" s="19" t="n"/>
      <c r="D211" s="17">
        <f>IF(C211="","",IF(C211&gt;='Quy dinh'!$B$5,"Đạt","Chưa đủ"))</f>
        <v/>
      </c>
      <c r="E211" s="7">
        <f>IF(C211="","",IF(AND(B211&lt;&gt;"",C211&gt;='Quy dinh'!$B$5),'Quy dinh'!$B$6,0))</f>
        <v/>
      </c>
      <c r="F211" s="19" t="n"/>
      <c r="G211" s="17">
        <f>IF(A211="","",TEXT(A211,"yyyy-mm"))</f>
        <v/>
      </c>
    </row>
    <row r="212">
      <c r="A212" s="22" t="n"/>
      <c r="B212" s="19" t="n"/>
      <c r="C212" s="19" t="n"/>
      <c r="D212" s="17">
        <f>IF(C212="","",IF(C212&gt;='Quy dinh'!$B$5,"Đạt","Chưa đủ"))</f>
        <v/>
      </c>
      <c r="E212" s="7">
        <f>IF(C212="","",IF(AND(B212&lt;&gt;"",C212&gt;='Quy dinh'!$B$5),'Quy dinh'!$B$6,0))</f>
        <v/>
      </c>
      <c r="F212" s="19" t="n"/>
      <c r="G212" s="17">
        <f>IF(A212="","",TEXT(A212,"yyyy-mm"))</f>
        <v/>
      </c>
    </row>
    <row r="213">
      <c r="A213" s="22" t="n"/>
      <c r="B213" s="19" t="n"/>
      <c r="C213" s="19" t="n"/>
      <c r="D213" s="17">
        <f>IF(C213="","",IF(C213&gt;='Quy dinh'!$B$5,"Đạt","Chưa đủ"))</f>
        <v/>
      </c>
      <c r="E213" s="7">
        <f>IF(C213="","",IF(AND(B213&lt;&gt;"",C213&gt;='Quy dinh'!$B$5),'Quy dinh'!$B$6,0))</f>
        <v/>
      </c>
      <c r="F213" s="19" t="n"/>
      <c r="G213" s="17">
        <f>IF(A213="","",TEXT(A213,"yyyy-mm"))</f>
        <v/>
      </c>
    </row>
    <row r="214">
      <c r="A214" s="22" t="n"/>
      <c r="B214" s="19" t="n"/>
      <c r="C214" s="19" t="n"/>
      <c r="D214" s="17">
        <f>IF(C214="","",IF(C214&gt;='Quy dinh'!$B$5,"Đạt","Chưa đủ"))</f>
        <v/>
      </c>
      <c r="E214" s="7">
        <f>IF(C214="","",IF(AND(B214&lt;&gt;"",C214&gt;='Quy dinh'!$B$5),'Quy dinh'!$B$6,0))</f>
        <v/>
      </c>
      <c r="F214" s="19" t="n"/>
      <c r="G214" s="17">
        <f>IF(A214="","",TEXT(A214,"yyyy-mm"))</f>
        <v/>
      </c>
    </row>
    <row r="215">
      <c r="A215" s="22" t="n"/>
      <c r="B215" s="19" t="n"/>
      <c r="C215" s="19" t="n"/>
      <c r="D215" s="17">
        <f>IF(C215="","",IF(C215&gt;='Quy dinh'!$B$5,"Đạt","Chưa đủ"))</f>
        <v/>
      </c>
      <c r="E215" s="7">
        <f>IF(C215="","",IF(AND(B215&lt;&gt;"",C215&gt;='Quy dinh'!$B$5),'Quy dinh'!$B$6,0))</f>
        <v/>
      </c>
      <c r="F215" s="19" t="n"/>
      <c r="G215" s="17">
        <f>IF(A215="","",TEXT(A215,"yyyy-mm"))</f>
        <v/>
      </c>
    </row>
    <row r="216">
      <c r="A216" s="22" t="n"/>
      <c r="B216" s="19" t="n"/>
      <c r="C216" s="19" t="n"/>
      <c r="D216" s="17">
        <f>IF(C216="","",IF(C216&gt;='Quy dinh'!$B$5,"Đạt","Chưa đủ"))</f>
        <v/>
      </c>
      <c r="E216" s="7">
        <f>IF(C216="","",IF(AND(B216&lt;&gt;"",C216&gt;='Quy dinh'!$B$5),'Quy dinh'!$B$6,0))</f>
        <v/>
      </c>
      <c r="F216" s="19" t="n"/>
      <c r="G216" s="17">
        <f>IF(A216="","",TEXT(A216,"yyyy-mm"))</f>
        <v/>
      </c>
    </row>
    <row r="217">
      <c r="A217" s="22" t="n"/>
      <c r="B217" s="19" t="n"/>
      <c r="C217" s="19" t="n"/>
      <c r="D217" s="17">
        <f>IF(C217="","",IF(C217&gt;='Quy dinh'!$B$5,"Đạt","Chưa đủ"))</f>
        <v/>
      </c>
      <c r="E217" s="7">
        <f>IF(C217="","",IF(AND(B217&lt;&gt;"",C217&gt;='Quy dinh'!$B$5),'Quy dinh'!$B$6,0))</f>
        <v/>
      </c>
      <c r="F217" s="19" t="n"/>
      <c r="G217" s="17">
        <f>IF(A217="","",TEXT(A217,"yyyy-mm"))</f>
        <v/>
      </c>
    </row>
    <row r="218">
      <c r="A218" s="22" t="n"/>
      <c r="B218" s="19" t="n"/>
      <c r="C218" s="19" t="n"/>
      <c r="D218" s="17">
        <f>IF(C218="","",IF(C218&gt;='Quy dinh'!$B$5,"Đạt","Chưa đủ"))</f>
        <v/>
      </c>
      <c r="E218" s="7">
        <f>IF(C218="","",IF(AND(B218&lt;&gt;"",C218&gt;='Quy dinh'!$B$5),'Quy dinh'!$B$6,0))</f>
        <v/>
      </c>
      <c r="F218" s="19" t="n"/>
      <c r="G218" s="17">
        <f>IF(A218="","",TEXT(A218,"yyyy-mm"))</f>
        <v/>
      </c>
    </row>
    <row r="219">
      <c r="A219" s="22" t="n"/>
      <c r="B219" s="19" t="n"/>
      <c r="C219" s="19" t="n"/>
      <c r="D219" s="17">
        <f>IF(C219="","",IF(C219&gt;='Quy dinh'!$B$5,"Đạt","Chưa đủ"))</f>
        <v/>
      </c>
      <c r="E219" s="7">
        <f>IF(C219="","",IF(AND(B219&lt;&gt;"",C219&gt;='Quy dinh'!$B$5),'Quy dinh'!$B$6,0))</f>
        <v/>
      </c>
      <c r="F219" s="19" t="n"/>
      <c r="G219" s="17">
        <f>IF(A219="","",TEXT(A219,"yyyy-mm"))</f>
        <v/>
      </c>
    </row>
    <row r="220">
      <c r="A220" s="22" t="n"/>
      <c r="B220" s="19" t="n"/>
      <c r="C220" s="19" t="n"/>
      <c r="D220" s="17">
        <f>IF(C220="","",IF(C220&gt;='Quy dinh'!$B$5,"Đạt","Chưa đủ"))</f>
        <v/>
      </c>
      <c r="E220" s="7">
        <f>IF(C220="","",IF(AND(B220&lt;&gt;"",C220&gt;='Quy dinh'!$B$5),'Quy dinh'!$B$6,0))</f>
        <v/>
      </c>
      <c r="F220" s="19" t="n"/>
      <c r="G220" s="17">
        <f>IF(A220="","",TEXT(A220,"yyyy-mm"))</f>
        <v/>
      </c>
    </row>
    <row r="221">
      <c r="A221" s="22" t="n"/>
      <c r="B221" s="19" t="n"/>
      <c r="C221" s="19" t="n"/>
      <c r="D221" s="17">
        <f>IF(C221="","",IF(C221&gt;='Quy dinh'!$B$5,"Đạt","Chưa đủ"))</f>
        <v/>
      </c>
      <c r="E221" s="7">
        <f>IF(C221="","",IF(AND(B221&lt;&gt;"",C221&gt;='Quy dinh'!$B$5),'Quy dinh'!$B$6,0))</f>
        <v/>
      </c>
      <c r="F221" s="19" t="n"/>
      <c r="G221" s="17">
        <f>IF(A221="","",TEXT(A221,"yyyy-mm"))</f>
        <v/>
      </c>
    </row>
    <row r="222">
      <c r="A222" s="22" t="n"/>
      <c r="B222" s="19" t="n"/>
      <c r="C222" s="19" t="n"/>
      <c r="D222" s="17">
        <f>IF(C222="","",IF(C222&gt;='Quy dinh'!$B$5,"Đạt","Chưa đủ"))</f>
        <v/>
      </c>
      <c r="E222" s="7">
        <f>IF(C222="","",IF(AND(B222&lt;&gt;"",C222&gt;='Quy dinh'!$B$5),'Quy dinh'!$B$6,0))</f>
        <v/>
      </c>
      <c r="F222" s="19" t="n"/>
      <c r="G222" s="17">
        <f>IF(A222="","",TEXT(A222,"yyyy-mm"))</f>
        <v/>
      </c>
    </row>
    <row r="223">
      <c r="A223" s="22" t="n"/>
      <c r="B223" s="19" t="n"/>
      <c r="C223" s="19" t="n"/>
      <c r="D223" s="17">
        <f>IF(C223="","",IF(C223&gt;='Quy dinh'!$B$5,"Đạt","Chưa đủ"))</f>
        <v/>
      </c>
      <c r="E223" s="7">
        <f>IF(C223="","",IF(AND(B223&lt;&gt;"",C223&gt;='Quy dinh'!$B$5),'Quy dinh'!$B$6,0))</f>
        <v/>
      </c>
      <c r="F223" s="19" t="n"/>
      <c r="G223" s="17">
        <f>IF(A223="","",TEXT(A223,"yyyy-mm"))</f>
        <v/>
      </c>
    </row>
    <row r="224">
      <c r="A224" s="22" t="n"/>
      <c r="B224" s="19" t="n"/>
      <c r="C224" s="19" t="n"/>
      <c r="D224" s="17">
        <f>IF(C224="","",IF(C224&gt;='Quy dinh'!$B$5,"Đạt","Chưa đủ"))</f>
        <v/>
      </c>
      <c r="E224" s="7">
        <f>IF(C224="","",IF(AND(B224&lt;&gt;"",C224&gt;='Quy dinh'!$B$5),'Quy dinh'!$B$6,0))</f>
        <v/>
      </c>
      <c r="F224" s="19" t="n"/>
      <c r="G224" s="17">
        <f>IF(A224="","",TEXT(A224,"yyyy-mm"))</f>
        <v/>
      </c>
    </row>
    <row r="225">
      <c r="A225" s="22" t="n"/>
      <c r="B225" s="19" t="n"/>
      <c r="C225" s="19" t="n"/>
      <c r="D225" s="17">
        <f>IF(C225="","",IF(C225&gt;='Quy dinh'!$B$5,"Đạt","Chưa đủ"))</f>
        <v/>
      </c>
      <c r="E225" s="7">
        <f>IF(C225="","",IF(AND(B225&lt;&gt;"",C225&gt;='Quy dinh'!$B$5),'Quy dinh'!$B$6,0))</f>
        <v/>
      </c>
      <c r="F225" s="19" t="n"/>
      <c r="G225" s="17">
        <f>IF(A225="","",TEXT(A225,"yyyy-mm"))</f>
        <v/>
      </c>
    </row>
    <row r="226">
      <c r="A226" s="22" t="n"/>
      <c r="B226" s="19" t="n"/>
      <c r="C226" s="19" t="n"/>
      <c r="D226" s="17">
        <f>IF(C226="","",IF(C226&gt;='Quy dinh'!$B$5,"Đạt","Chưa đủ"))</f>
        <v/>
      </c>
      <c r="E226" s="7">
        <f>IF(C226="","",IF(AND(B226&lt;&gt;"",C226&gt;='Quy dinh'!$B$5),'Quy dinh'!$B$6,0))</f>
        <v/>
      </c>
      <c r="F226" s="19" t="n"/>
      <c r="G226" s="17">
        <f>IF(A226="","",TEXT(A226,"yyyy-mm"))</f>
        <v/>
      </c>
    </row>
    <row r="227">
      <c r="A227" s="22" t="n"/>
      <c r="B227" s="19" t="n"/>
      <c r="C227" s="19" t="n"/>
      <c r="D227" s="17">
        <f>IF(C227="","",IF(C227&gt;='Quy dinh'!$B$5,"Đạt","Chưa đủ"))</f>
        <v/>
      </c>
      <c r="E227" s="7">
        <f>IF(C227="","",IF(AND(B227&lt;&gt;"",C227&gt;='Quy dinh'!$B$5),'Quy dinh'!$B$6,0))</f>
        <v/>
      </c>
      <c r="F227" s="19" t="n"/>
      <c r="G227" s="17">
        <f>IF(A227="","",TEXT(A227,"yyyy-mm"))</f>
        <v/>
      </c>
    </row>
    <row r="228">
      <c r="A228" s="22" t="n"/>
      <c r="B228" s="19" t="n"/>
      <c r="C228" s="19" t="n"/>
      <c r="D228" s="17">
        <f>IF(C228="","",IF(C228&gt;='Quy dinh'!$B$5,"Đạt","Chưa đủ"))</f>
        <v/>
      </c>
      <c r="E228" s="7">
        <f>IF(C228="","",IF(AND(B228&lt;&gt;"",C228&gt;='Quy dinh'!$B$5),'Quy dinh'!$B$6,0))</f>
        <v/>
      </c>
      <c r="F228" s="19" t="n"/>
      <c r="G228" s="17">
        <f>IF(A228="","",TEXT(A228,"yyyy-mm"))</f>
        <v/>
      </c>
    </row>
    <row r="229">
      <c r="A229" s="22" t="n"/>
      <c r="B229" s="19" t="n"/>
      <c r="C229" s="19" t="n"/>
      <c r="D229" s="17">
        <f>IF(C229="","",IF(C229&gt;='Quy dinh'!$B$5,"Đạt","Chưa đủ"))</f>
        <v/>
      </c>
      <c r="E229" s="7">
        <f>IF(C229="","",IF(AND(B229&lt;&gt;"",C229&gt;='Quy dinh'!$B$5),'Quy dinh'!$B$6,0))</f>
        <v/>
      </c>
      <c r="F229" s="19" t="n"/>
      <c r="G229" s="17">
        <f>IF(A229="","",TEXT(A229,"yyyy-mm"))</f>
        <v/>
      </c>
    </row>
    <row r="230">
      <c r="A230" s="22" t="n"/>
      <c r="B230" s="19" t="n"/>
      <c r="C230" s="19" t="n"/>
      <c r="D230" s="17">
        <f>IF(C230="","",IF(C230&gt;='Quy dinh'!$B$5,"Đạt","Chưa đủ"))</f>
        <v/>
      </c>
      <c r="E230" s="7">
        <f>IF(C230="","",IF(AND(B230&lt;&gt;"",C230&gt;='Quy dinh'!$B$5),'Quy dinh'!$B$6,0))</f>
        <v/>
      </c>
      <c r="F230" s="19" t="n"/>
      <c r="G230" s="17">
        <f>IF(A230="","",TEXT(A230,"yyyy-mm"))</f>
        <v/>
      </c>
    </row>
    <row r="231">
      <c r="A231" s="22" t="n"/>
      <c r="B231" s="19" t="n"/>
      <c r="C231" s="19" t="n"/>
      <c r="D231" s="17">
        <f>IF(C231="","",IF(C231&gt;='Quy dinh'!$B$5,"Đạt","Chưa đủ"))</f>
        <v/>
      </c>
      <c r="E231" s="7">
        <f>IF(C231="","",IF(AND(B231&lt;&gt;"",C231&gt;='Quy dinh'!$B$5),'Quy dinh'!$B$6,0))</f>
        <v/>
      </c>
      <c r="F231" s="19" t="n"/>
      <c r="G231" s="17">
        <f>IF(A231="","",TEXT(A231,"yyyy-mm"))</f>
        <v/>
      </c>
    </row>
    <row r="232">
      <c r="A232" s="22" t="n"/>
      <c r="B232" s="19" t="n"/>
      <c r="C232" s="19" t="n"/>
      <c r="D232" s="17">
        <f>IF(C232="","",IF(C232&gt;='Quy dinh'!$B$5,"Đạt","Chưa đủ"))</f>
        <v/>
      </c>
      <c r="E232" s="7">
        <f>IF(C232="","",IF(AND(B232&lt;&gt;"",C232&gt;='Quy dinh'!$B$5),'Quy dinh'!$B$6,0))</f>
        <v/>
      </c>
      <c r="F232" s="19" t="n"/>
      <c r="G232" s="17">
        <f>IF(A232="","",TEXT(A232,"yyyy-mm"))</f>
        <v/>
      </c>
    </row>
    <row r="233">
      <c r="A233" s="22" t="n"/>
      <c r="B233" s="19" t="n"/>
      <c r="C233" s="19" t="n"/>
      <c r="D233" s="17">
        <f>IF(C233="","",IF(C233&gt;='Quy dinh'!$B$5,"Đạt","Chưa đủ"))</f>
        <v/>
      </c>
      <c r="E233" s="7">
        <f>IF(C233="","",IF(AND(B233&lt;&gt;"",C233&gt;='Quy dinh'!$B$5),'Quy dinh'!$B$6,0))</f>
        <v/>
      </c>
      <c r="F233" s="19" t="n"/>
      <c r="G233" s="17">
        <f>IF(A233="","",TEXT(A233,"yyyy-mm"))</f>
        <v/>
      </c>
    </row>
    <row r="234">
      <c r="A234" s="22" t="n"/>
      <c r="B234" s="19" t="n"/>
      <c r="C234" s="19" t="n"/>
      <c r="D234" s="17">
        <f>IF(C234="","",IF(C234&gt;='Quy dinh'!$B$5,"Đạt","Chưa đủ"))</f>
        <v/>
      </c>
      <c r="E234" s="7">
        <f>IF(C234="","",IF(AND(B234&lt;&gt;"",C234&gt;='Quy dinh'!$B$5),'Quy dinh'!$B$6,0))</f>
        <v/>
      </c>
      <c r="F234" s="19" t="n"/>
      <c r="G234" s="17">
        <f>IF(A234="","",TEXT(A234,"yyyy-mm"))</f>
        <v/>
      </c>
    </row>
    <row r="235">
      <c r="A235" s="22" t="n"/>
      <c r="B235" s="19" t="n"/>
      <c r="C235" s="19" t="n"/>
      <c r="D235" s="17">
        <f>IF(C235="","",IF(C235&gt;='Quy dinh'!$B$5,"Đạt","Chưa đủ"))</f>
        <v/>
      </c>
      <c r="E235" s="7">
        <f>IF(C235="","",IF(AND(B235&lt;&gt;"",C235&gt;='Quy dinh'!$B$5),'Quy dinh'!$B$6,0))</f>
        <v/>
      </c>
      <c r="F235" s="19" t="n"/>
      <c r="G235" s="17">
        <f>IF(A235="","",TEXT(A235,"yyyy-mm"))</f>
        <v/>
      </c>
    </row>
    <row r="236">
      <c r="A236" s="22" t="n"/>
      <c r="B236" s="19" t="n"/>
      <c r="C236" s="19" t="n"/>
      <c r="D236" s="17">
        <f>IF(C236="","",IF(C236&gt;='Quy dinh'!$B$5,"Đạt","Chưa đủ"))</f>
        <v/>
      </c>
      <c r="E236" s="7">
        <f>IF(C236="","",IF(AND(B236&lt;&gt;"",C236&gt;='Quy dinh'!$B$5),'Quy dinh'!$B$6,0))</f>
        <v/>
      </c>
      <c r="F236" s="19" t="n"/>
      <c r="G236" s="17">
        <f>IF(A236="","",TEXT(A236,"yyyy-mm"))</f>
        <v/>
      </c>
    </row>
    <row r="237">
      <c r="A237" s="22" t="n"/>
      <c r="B237" s="19" t="n"/>
      <c r="C237" s="19" t="n"/>
      <c r="D237" s="17">
        <f>IF(C237="","",IF(C237&gt;='Quy dinh'!$B$5,"Đạt","Chưa đủ"))</f>
        <v/>
      </c>
      <c r="E237" s="7">
        <f>IF(C237="","",IF(AND(B237&lt;&gt;"",C237&gt;='Quy dinh'!$B$5),'Quy dinh'!$B$6,0))</f>
        <v/>
      </c>
      <c r="F237" s="19" t="n"/>
      <c r="G237" s="17">
        <f>IF(A237="","",TEXT(A237,"yyyy-mm"))</f>
        <v/>
      </c>
    </row>
    <row r="238">
      <c r="A238" s="22" t="n"/>
      <c r="B238" s="19" t="n"/>
      <c r="C238" s="19" t="n"/>
      <c r="D238" s="17">
        <f>IF(C238="","",IF(C238&gt;='Quy dinh'!$B$5,"Đạt","Chưa đủ"))</f>
        <v/>
      </c>
      <c r="E238" s="7">
        <f>IF(C238="","",IF(AND(B238&lt;&gt;"",C238&gt;='Quy dinh'!$B$5),'Quy dinh'!$B$6,0))</f>
        <v/>
      </c>
      <c r="F238" s="19" t="n"/>
      <c r="G238" s="17">
        <f>IF(A238="","",TEXT(A238,"yyyy-mm"))</f>
        <v/>
      </c>
    </row>
    <row r="239">
      <c r="A239" s="22" t="n"/>
      <c r="B239" s="19" t="n"/>
      <c r="C239" s="19" t="n"/>
      <c r="D239" s="17">
        <f>IF(C239="","",IF(C239&gt;='Quy dinh'!$B$5,"Đạt","Chưa đủ"))</f>
        <v/>
      </c>
      <c r="E239" s="7">
        <f>IF(C239="","",IF(AND(B239&lt;&gt;"",C239&gt;='Quy dinh'!$B$5),'Quy dinh'!$B$6,0))</f>
        <v/>
      </c>
      <c r="F239" s="19" t="n"/>
      <c r="G239" s="17">
        <f>IF(A239="","",TEXT(A239,"yyyy-mm"))</f>
        <v/>
      </c>
    </row>
    <row r="240">
      <c r="A240" s="22" t="n"/>
      <c r="B240" s="19" t="n"/>
      <c r="C240" s="19" t="n"/>
      <c r="D240" s="17">
        <f>IF(C240="","",IF(C240&gt;='Quy dinh'!$B$5,"Đạt","Chưa đủ"))</f>
        <v/>
      </c>
      <c r="E240" s="7">
        <f>IF(C240="","",IF(AND(B240&lt;&gt;"",C240&gt;='Quy dinh'!$B$5),'Quy dinh'!$B$6,0))</f>
        <v/>
      </c>
      <c r="F240" s="19" t="n"/>
      <c r="G240" s="17">
        <f>IF(A240="","",TEXT(A240,"yyyy-mm"))</f>
        <v/>
      </c>
    </row>
    <row r="241">
      <c r="A241" s="22" t="n"/>
      <c r="B241" s="19" t="n"/>
      <c r="C241" s="19" t="n"/>
      <c r="D241" s="17">
        <f>IF(C241="","",IF(C241&gt;='Quy dinh'!$B$5,"Đạt","Chưa đủ"))</f>
        <v/>
      </c>
      <c r="E241" s="7">
        <f>IF(C241="","",IF(AND(B241&lt;&gt;"",C241&gt;='Quy dinh'!$B$5),'Quy dinh'!$B$6,0))</f>
        <v/>
      </c>
      <c r="F241" s="19" t="n"/>
      <c r="G241" s="17">
        <f>IF(A241="","",TEXT(A241,"yyyy-mm"))</f>
        <v/>
      </c>
    </row>
    <row r="242">
      <c r="A242" s="22" t="n"/>
      <c r="B242" s="19" t="n"/>
      <c r="C242" s="19" t="n"/>
      <c r="D242" s="17">
        <f>IF(C242="","",IF(C242&gt;='Quy dinh'!$B$5,"Đạt","Chưa đủ"))</f>
        <v/>
      </c>
      <c r="E242" s="7">
        <f>IF(C242="","",IF(AND(B242&lt;&gt;"",C242&gt;='Quy dinh'!$B$5),'Quy dinh'!$B$6,0))</f>
        <v/>
      </c>
      <c r="F242" s="19" t="n"/>
      <c r="G242" s="17">
        <f>IF(A242="","",TEXT(A242,"yyyy-mm"))</f>
        <v/>
      </c>
    </row>
    <row r="243">
      <c r="A243" s="22" t="n"/>
      <c r="B243" s="19" t="n"/>
      <c r="C243" s="19" t="n"/>
      <c r="D243" s="17">
        <f>IF(C243="","",IF(C243&gt;='Quy dinh'!$B$5,"Đạt","Chưa đủ"))</f>
        <v/>
      </c>
      <c r="E243" s="7">
        <f>IF(C243="","",IF(AND(B243&lt;&gt;"",C243&gt;='Quy dinh'!$B$5),'Quy dinh'!$B$6,0))</f>
        <v/>
      </c>
      <c r="F243" s="19" t="n"/>
      <c r="G243" s="17">
        <f>IF(A243="","",TEXT(A243,"yyyy-mm"))</f>
        <v/>
      </c>
    </row>
    <row r="244">
      <c r="A244" s="22" t="n"/>
      <c r="B244" s="19" t="n"/>
      <c r="C244" s="19" t="n"/>
      <c r="D244" s="17">
        <f>IF(C244="","",IF(C244&gt;='Quy dinh'!$B$5,"Đạt","Chưa đủ"))</f>
        <v/>
      </c>
      <c r="E244" s="7">
        <f>IF(C244="","",IF(AND(B244&lt;&gt;"",C244&gt;='Quy dinh'!$B$5),'Quy dinh'!$B$6,0))</f>
        <v/>
      </c>
      <c r="F244" s="19" t="n"/>
      <c r="G244" s="17">
        <f>IF(A244="","",TEXT(A244,"yyyy-mm"))</f>
        <v/>
      </c>
    </row>
    <row r="245">
      <c r="A245" s="22" t="n"/>
      <c r="B245" s="19" t="n"/>
      <c r="C245" s="19" t="n"/>
      <c r="D245" s="17">
        <f>IF(C245="","",IF(C245&gt;='Quy dinh'!$B$5,"Đạt","Chưa đủ"))</f>
        <v/>
      </c>
      <c r="E245" s="7">
        <f>IF(C245="","",IF(AND(B245&lt;&gt;"",C245&gt;='Quy dinh'!$B$5),'Quy dinh'!$B$6,0))</f>
        <v/>
      </c>
      <c r="F245" s="19" t="n"/>
      <c r="G245" s="17">
        <f>IF(A245="","",TEXT(A245,"yyyy-mm"))</f>
        <v/>
      </c>
    </row>
    <row r="246">
      <c r="A246" s="22" t="n"/>
      <c r="B246" s="19" t="n"/>
      <c r="C246" s="19" t="n"/>
      <c r="D246" s="17">
        <f>IF(C246="","",IF(C246&gt;='Quy dinh'!$B$5,"Đạt","Chưa đủ"))</f>
        <v/>
      </c>
      <c r="E246" s="7">
        <f>IF(C246="","",IF(AND(B246&lt;&gt;"",C246&gt;='Quy dinh'!$B$5),'Quy dinh'!$B$6,0))</f>
        <v/>
      </c>
      <c r="F246" s="19" t="n"/>
      <c r="G246" s="17">
        <f>IF(A246="","",TEXT(A246,"yyyy-mm"))</f>
        <v/>
      </c>
    </row>
    <row r="247">
      <c r="A247" s="22" t="n"/>
      <c r="B247" s="19" t="n"/>
      <c r="C247" s="19" t="n"/>
      <c r="D247" s="17">
        <f>IF(C247="","",IF(C247&gt;='Quy dinh'!$B$5,"Đạt","Chưa đủ"))</f>
        <v/>
      </c>
      <c r="E247" s="7">
        <f>IF(C247="","",IF(AND(B247&lt;&gt;"",C247&gt;='Quy dinh'!$B$5),'Quy dinh'!$B$6,0))</f>
        <v/>
      </c>
      <c r="F247" s="19" t="n"/>
      <c r="G247" s="17">
        <f>IF(A247="","",TEXT(A247,"yyyy-mm"))</f>
        <v/>
      </c>
    </row>
    <row r="248">
      <c r="A248" s="22" t="n"/>
      <c r="B248" s="19" t="n"/>
      <c r="C248" s="19" t="n"/>
      <c r="D248" s="17">
        <f>IF(C248="","",IF(C248&gt;='Quy dinh'!$B$5,"Đạt","Chưa đủ"))</f>
        <v/>
      </c>
      <c r="E248" s="7">
        <f>IF(C248="","",IF(AND(B248&lt;&gt;"",C248&gt;='Quy dinh'!$B$5),'Quy dinh'!$B$6,0))</f>
        <v/>
      </c>
      <c r="F248" s="19" t="n"/>
      <c r="G248" s="17">
        <f>IF(A248="","",TEXT(A248,"yyyy-mm"))</f>
        <v/>
      </c>
    </row>
    <row r="249">
      <c r="A249" s="22" t="n"/>
      <c r="B249" s="19" t="n"/>
      <c r="C249" s="19" t="n"/>
      <c r="D249" s="17">
        <f>IF(C249="","",IF(C249&gt;='Quy dinh'!$B$5,"Đạt","Chưa đủ"))</f>
        <v/>
      </c>
      <c r="E249" s="7">
        <f>IF(C249="","",IF(AND(B249&lt;&gt;"",C249&gt;='Quy dinh'!$B$5),'Quy dinh'!$B$6,0))</f>
        <v/>
      </c>
      <c r="F249" s="19" t="n"/>
      <c r="G249" s="17">
        <f>IF(A249="","",TEXT(A249,"yyyy-mm"))</f>
        <v/>
      </c>
    </row>
    <row r="250">
      <c r="A250" s="22" t="n"/>
      <c r="B250" s="19" t="n"/>
      <c r="C250" s="19" t="n"/>
      <c r="D250" s="17">
        <f>IF(C250="","",IF(C250&gt;='Quy dinh'!$B$5,"Đạt","Chưa đủ"))</f>
        <v/>
      </c>
      <c r="E250" s="7">
        <f>IF(C250="","",IF(AND(B250&lt;&gt;"",C250&gt;='Quy dinh'!$B$5),'Quy dinh'!$B$6,0))</f>
        <v/>
      </c>
      <c r="F250" s="19" t="n"/>
      <c r="G250" s="17">
        <f>IF(A250="","",TEXT(A250,"yyyy-mm"))</f>
        <v/>
      </c>
    </row>
    <row r="251">
      <c r="A251" s="22" t="n"/>
      <c r="B251" s="19" t="n"/>
      <c r="C251" s="19" t="n"/>
      <c r="D251" s="17">
        <f>IF(C251="","",IF(C251&gt;='Quy dinh'!$B$5,"Đạt","Chưa đủ"))</f>
        <v/>
      </c>
      <c r="E251" s="7">
        <f>IF(C251="","",IF(AND(B251&lt;&gt;"",C251&gt;='Quy dinh'!$B$5),'Quy dinh'!$B$6,0))</f>
        <v/>
      </c>
      <c r="F251" s="19" t="n"/>
      <c r="G251" s="17">
        <f>IF(A251="","",TEXT(A251,"yyyy-mm"))</f>
        <v/>
      </c>
    </row>
    <row r="252">
      <c r="A252" s="22" t="n"/>
      <c r="B252" s="19" t="n"/>
      <c r="C252" s="19" t="n"/>
      <c r="D252" s="17">
        <f>IF(C252="","",IF(C252&gt;='Quy dinh'!$B$5,"Đạt","Chưa đủ"))</f>
        <v/>
      </c>
      <c r="E252" s="7">
        <f>IF(C252="","",IF(AND(B252&lt;&gt;"",C252&gt;='Quy dinh'!$B$5),'Quy dinh'!$B$6,0))</f>
        <v/>
      </c>
      <c r="F252" s="19" t="n"/>
      <c r="G252" s="17">
        <f>IF(A252="","",TEXT(A252,"yyyy-mm"))</f>
        <v/>
      </c>
    </row>
    <row r="253">
      <c r="A253" s="22" t="n"/>
      <c r="B253" s="19" t="n"/>
      <c r="C253" s="19" t="n"/>
      <c r="D253" s="17">
        <f>IF(C253="","",IF(C253&gt;='Quy dinh'!$B$5,"Đạt","Chưa đủ"))</f>
        <v/>
      </c>
      <c r="E253" s="7">
        <f>IF(C253="","",IF(AND(B253&lt;&gt;"",C253&gt;='Quy dinh'!$B$5),'Quy dinh'!$B$6,0))</f>
        <v/>
      </c>
      <c r="F253" s="19" t="n"/>
      <c r="G253" s="17">
        <f>IF(A253="","",TEXT(A253,"yyyy-mm"))</f>
        <v/>
      </c>
    </row>
    <row r="254">
      <c r="A254" s="22" t="n"/>
      <c r="B254" s="19" t="n"/>
      <c r="C254" s="19" t="n"/>
      <c r="D254" s="17">
        <f>IF(C254="","",IF(C254&gt;='Quy dinh'!$B$5,"Đạt","Chưa đủ"))</f>
        <v/>
      </c>
      <c r="E254" s="7">
        <f>IF(C254="","",IF(AND(B254&lt;&gt;"",C254&gt;='Quy dinh'!$B$5),'Quy dinh'!$B$6,0))</f>
        <v/>
      </c>
      <c r="F254" s="19" t="n"/>
      <c r="G254" s="17">
        <f>IF(A254="","",TEXT(A254,"yyyy-mm"))</f>
        <v/>
      </c>
    </row>
    <row r="255">
      <c r="A255" s="22" t="n"/>
      <c r="B255" s="19" t="n"/>
      <c r="C255" s="19" t="n"/>
      <c r="D255" s="17">
        <f>IF(C255="","",IF(C255&gt;='Quy dinh'!$B$5,"Đạt","Chưa đủ"))</f>
        <v/>
      </c>
      <c r="E255" s="7">
        <f>IF(C255="","",IF(AND(B255&lt;&gt;"",C255&gt;='Quy dinh'!$B$5),'Quy dinh'!$B$6,0))</f>
        <v/>
      </c>
      <c r="F255" s="19" t="n"/>
      <c r="G255" s="17">
        <f>IF(A255="","",TEXT(A255,"yyyy-mm"))</f>
        <v/>
      </c>
    </row>
    <row r="256">
      <c r="A256" s="22" t="n"/>
      <c r="B256" s="19" t="n"/>
      <c r="C256" s="19" t="n"/>
      <c r="D256" s="17">
        <f>IF(C256="","",IF(C256&gt;='Quy dinh'!$B$5,"Đạt","Chưa đủ"))</f>
        <v/>
      </c>
      <c r="E256" s="7">
        <f>IF(C256="","",IF(AND(B256&lt;&gt;"",C256&gt;='Quy dinh'!$B$5),'Quy dinh'!$B$6,0))</f>
        <v/>
      </c>
      <c r="F256" s="19" t="n"/>
      <c r="G256" s="17">
        <f>IF(A256="","",TEXT(A256,"yyyy-mm"))</f>
        <v/>
      </c>
    </row>
    <row r="257">
      <c r="A257" s="22" t="n"/>
      <c r="B257" s="19" t="n"/>
      <c r="C257" s="19" t="n"/>
      <c r="D257" s="17">
        <f>IF(C257="","",IF(C257&gt;='Quy dinh'!$B$5,"Đạt","Chưa đủ"))</f>
        <v/>
      </c>
      <c r="E257" s="7">
        <f>IF(C257="","",IF(AND(B257&lt;&gt;"",C257&gt;='Quy dinh'!$B$5),'Quy dinh'!$B$6,0))</f>
        <v/>
      </c>
      <c r="F257" s="19" t="n"/>
      <c r="G257" s="17">
        <f>IF(A257="","",TEXT(A257,"yyyy-mm"))</f>
        <v/>
      </c>
    </row>
    <row r="258">
      <c r="A258" s="22" t="n"/>
      <c r="B258" s="19" t="n"/>
      <c r="C258" s="19" t="n"/>
      <c r="D258" s="17">
        <f>IF(C258="","",IF(C258&gt;='Quy dinh'!$B$5,"Đạt","Chưa đủ"))</f>
        <v/>
      </c>
      <c r="E258" s="7">
        <f>IF(C258="","",IF(AND(B258&lt;&gt;"",C258&gt;='Quy dinh'!$B$5),'Quy dinh'!$B$6,0))</f>
        <v/>
      </c>
      <c r="F258" s="19" t="n"/>
      <c r="G258" s="17">
        <f>IF(A258="","",TEXT(A258,"yyyy-mm"))</f>
        <v/>
      </c>
    </row>
    <row r="259">
      <c r="A259" s="22" t="n"/>
      <c r="B259" s="19" t="n"/>
      <c r="C259" s="19" t="n"/>
      <c r="D259" s="17">
        <f>IF(C259="","",IF(C259&gt;='Quy dinh'!$B$5,"Đạt","Chưa đủ"))</f>
        <v/>
      </c>
      <c r="E259" s="7">
        <f>IF(C259="","",IF(AND(B259&lt;&gt;"",C259&gt;='Quy dinh'!$B$5),'Quy dinh'!$B$6,0))</f>
        <v/>
      </c>
      <c r="F259" s="19" t="n"/>
      <c r="G259" s="17">
        <f>IF(A259="","",TEXT(A259,"yyyy-mm"))</f>
        <v/>
      </c>
    </row>
    <row r="260">
      <c r="A260" s="22" t="n"/>
      <c r="B260" s="19" t="n"/>
      <c r="C260" s="19" t="n"/>
      <c r="D260" s="17">
        <f>IF(C260="","",IF(C260&gt;='Quy dinh'!$B$5,"Đạt","Chưa đủ"))</f>
        <v/>
      </c>
      <c r="E260" s="7">
        <f>IF(C260="","",IF(AND(B260&lt;&gt;"",C260&gt;='Quy dinh'!$B$5),'Quy dinh'!$B$6,0))</f>
        <v/>
      </c>
      <c r="F260" s="19" t="n"/>
      <c r="G260" s="17">
        <f>IF(A260="","",TEXT(A260,"yyyy-mm"))</f>
        <v/>
      </c>
    </row>
    <row r="261">
      <c r="A261" s="22" t="n"/>
      <c r="B261" s="19" t="n"/>
      <c r="C261" s="19" t="n"/>
      <c r="D261" s="17">
        <f>IF(C261="","",IF(C261&gt;='Quy dinh'!$B$5,"Đạt","Chưa đủ"))</f>
        <v/>
      </c>
      <c r="E261" s="7">
        <f>IF(C261="","",IF(AND(B261&lt;&gt;"",C261&gt;='Quy dinh'!$B$5),'Quy dinh'!$B$6,0))</f>
        <v/>
      </c>
      <c r="F261" s="19" t="n"/>
      <c r="G261" s="17">
        <f>IF(A261="","",TEXT(A261,"yyyy-mm"))</f>
        <v/>
      </c>
    </row>
    <row r="262">
      <c r="A262" s="22" t="n"/>
      <c r="B262" s="19" t="n"/>
      <c r="C262" s="19" t="n"/>
      <c r="D262" s="17">
        <f>IF(C262="","",IF(C262&gt;='Quy dinh'!$B$5,"Đạt","Chưa đủ"))</f>
        <v/>
      </c>
      <c r="E262" s="7">
        <f>IF(C262="","",IF(AND(B262&lt;&gt;"",C262&gt;='Quy dinh'!$B$5),'Quy dinh'!$B$6,0))</f>
        <v/>
      </c>
      <c r="F262" s="19" t="n"/>
      <c r="G262" s="17">
        <f>IF(A262="","",TEXT(A262,"yyyy-mm"))</f>
        <v/>
      </c>
    </row>
    <row r="263">
      <c r="A263" s="22" t="n"/>
      <c r="B263" s="19" t="n"/>
      <c r="C263" s="19" t="n"/>
      <c r="D263" s="17">
        <f>IF(C263="","",IF(C263&gt;='Quy dinh'!$B$5,"Đạt","Chưa đủ"))</f>
        <v/>
      </c>
      <c r="E263" s="7">
        <f>IF(C263="","",IF(AND(B263&lt;&gt;"",C263&gt;='Quy dinh'!$B$5),'Quy dinh'!$B$6,0))</f>
        <v/>
      </c>
      <c r="F263" s="19" t="n"/>
      <c r="G263" s="17">
        <f>IF(A263="","",TEXT(A263,"yyyy-mm"))</f>
        <v/>
      </c>
    </row>
    <row r="264">
      <c r="A264" s="22" t="n"/>
      <c r="B264" s="19" t="n"/>
      <c r="C264" s="19" t="n"/>
      <c r="D264" s="17">
        <f>IF(C264="","",IF(C264&gt;='Quy dinh'!$B$5,"Đạt","Chưa đủ"))</f>
        <v/>
      </c>
      <c r="E264" s="7">
        <f>IF(C264="","",IF(AND(B264&lt;&gt;"",C264&gt;='Quy dinh'!$B$5),'Quy dinh'!$B$6,0))</f>
        <v/>
      </c>
      <c r="F264" s="19" t="n"/>
      <c r="G264" s="17">
        <f>IF(A264="","",TEXT(A264,"yyyy-mm"))</f>
        <v/>
      </c>
    </row>
    <row r="265">
      <c r="A265" s="22" t="n"/>
      <c r="B265" s="19" t="n"/>
      <c r="C265" s="19" t="n"/>
      <c r="D265" s="17">
        <f>IF(C265="","",IF(C265&gt;='Quy dinh'!$B$5,"Đạt","Chưa đủ"))</f>
        <v/>
      </c>
      <c r="E265" s="7">
        <f>IF(C265="","",IF(AND(B265&lt;&gt;"",C265&gt;='Quy dinh'!$B$5),'Quy dinh'!$B$6,0))</f>
        <v/>
      </c>
      <c r="F265" s="19" t="n"/>
      <c r="G265" s="17">
        <f>IF(A265="","",TEXT(A265,"yyyy-mm"))</f>
        <v/>
      </c>
    </row>
    <row r="266">
      <c r="A266" s="22" t="n"/>
      <c r="B266" s="19" t="n"/>
      <c r="C266" s="19" t="n"/>
      <c r="D266" s="17">
        <f>IF(C266="","",IF(C266&gt;='Quy dinh'!$B$5,"Đạt","Chưa đủ"))</f>
        <v/>
      </c>
      <c r="E266" s="7">
        <f>IF(C266="","",IF(AND(B266&lt;&gt;"",C266&gt;='Quy dinh'!$B$5),'Quy dinh'!$B$6,0))</f>
        <v/>
      </c>
      <c r="F266" s="19" t="n"/>
      <c r="G266" s="17">
        <f>IF(A266="","",TEXT(A266,"yyyy-mm"))</f>
        <v/>
      </c>
    </row>
    <row r="267">
      <c r="A267" s="22" t="n"/>
      <c r="B267" s="19" t="n"/>
      <c r="C267" s="19" t="n"/>
      <c r="D267" s="17">
        <f>IF(C267="","",IF(C267&gt;='Quy dinh'!$B$5,"Đạt","Chưa đủ"))</f>
        <v/>
      </c>
      <c r="E267" s="7">
        <f>IF(C267="","",IF(AND(B267&lt;&gt;"",C267&gt;='Quy dinh'!$B$5),'Quy dinh'!$B$6,0))</f>
        <v/>
      </c>
      <c r="F267" s="19" t="n"/>
      <c r="G267" s="17">
        <f>IF(A267="","",TEXT(A267,"yyyy-mm"))</f>
        <v/>
      </c>
    </row>
    <row r="268">
      <c r="A268" s="22" t="n"/>
      <c r="B268" s="19" t="n"/>
      <c r="C268" s="19" t="n"/>
      <c r="D268" s="17">
        <f>IF(C268="","",IF(C268&gt;='Quy dinh'!$B$5,"Đạt","Chưa đủ"))</f>
        <v/>
      </c>
      <c r="E268" s="7">
        <f>IF(C268="","",IF(AND(B268&lt;&gt;"",C268&gt;='Quy dinh'!$B$5),'Quy dinh'!$B$6,0))</f>
        <v/>
      </c>
      <c r="F268" s="19" t="n"/>
      <c r="G268" s="17">
        <f>IF(A268="","",TEXT(A268,"yyyy-mm"))</f>
        <v/>
      </c>
    </row>
    <row r="269">
      <c r="A269" s="22" t="n"/>
      <c r="B269" s="19" t="n"/>
      <c r="C269" s="19" t="n"/>
      <c r="D269" s="17">
        <f>IF(C269="","",IF(C269&gt;='Quy dinh'!$B$5,"Đạt","Chưa đủ"))</f>
        <v/>
      </c>
      <c r="E269" s="7">
        <f>IF(C269="","",IF(AND(B269&lt;&gt;"",C269&gt;='Quy dinh'!$B$5),'Quy dinh'!$B$6,0))</f>
        <v/>
      </c>
      <c r="F269" s="19" t="n"/>
      <c r="G269" s="17">
        <f>IF(A269="","",TEXT(A269,"yyyy-mm"))</f>
        <v/>
      </c>
    </row>
    <row r="270">
      <c r="A270" s="22" t="n"/>
      <c r="B270" s="19" t="n"/>
      <c r="C270" s="19" t="n"/>
      <c r="D270" s="17">
        <f>IF(C270="","",IF(C270&gt;='Quy dinh'!$B$5,"Đạt","Chưa đủ"))</f>
        <v/>
      </c>
      <c r="E270" s="7">
        <f>IF(C270="","",IF(AND(B270&lt;&gt;"",C270&gt;='Quy dinh'!$B$5),'Quy dinh'!$B$6,0))</f>
        <v/>
      </c>
      <c r="F270" s="19" t="n"/>
      <c r="G270" s="17">
        <f>IF(A270="","",TEXT(A270,"yyyy-mm"))</f>
        <v/>
      </c>
    </row>
    <row r="271">
      <c r="A271" s="22" t="n"/>
      <c r="B271" s="19" t="n"/>
      <c r="C271" s="19" t="n"/>
      <c r="D271" s="17">
        <f>IF(C271="","",IF(C271&gt;='Quy dinh'!$B$5,"Đạt","Chưa đủ"))</f>
        <v/>
      </c>
      <c r="E271" s="7">
        <f>IF(C271="","",IF(AND(B271&lt;&gt;"",C271&gt;='Quy dinh'!$B$5),'Quy dinh'!$B$6,0))</f>
        <v/>
      </c>
      <c r="F271" s="19" t="n"/>
      <c r="G271" s="17">
        <f>IF(A271="","",TEXT(A271,"yyyy-mm"))</f>
        <v/>
      </c>
    </row>
    <row r="272">
      <c r="A272" s="22" t="n"/>
      <c r="B272" s="19" t="n"/>
      <c r="C272" s="19" t="n"/>
      <c r="D272" s="17">
        <f>IF(C272="","",IF(C272&gt;='Quy dinh'!$B$5,"Đạt","Chưa đủ"))</f>
        <v/>
      </c>
      <c r="E272" s="7">
        <f>IF(C272="","",IF(AND(B272&lt;&gt;"",C272&gt;='Quy dinh'!$B$5),'Quy dinh'!$B$6,0))</f>
        <v/>
      </c>
      <c r="F272" s="19" t="n"/>
      <c r="G272" s="17">
        <f>IF(A272="","",TEXT(A272,"yyyy-mm"))</f>
        <v/>
      </c>
    </row>
    <row r="273">
      <c r="A273" s="22" t="n"/>
      <c r="B273" s="19" t="n"/>
      <c r="C273" s="19" t="n"/>
      <c r="D273" s="17">
        <f>IF(C273="","",IF(C273&gt;='Quy dinh'!$B$5,"Đạt","Chưa đủ"))</f>
        <v/>
      </c>
      <c r="E273" s="7">
        <f>IF(C273="","",IF(AND(B273&lt;&gt;"",C273&gt;='Quy dinh'!$B$5),'Quy dinh'!$B$6,0))</f>
        <v/>
      </c>
      <c r="F273" s="19" t="n"/>
      <c r="G273" s="17">
        <f>IF(A273="","",TEXT(A273,"yyyy-mm"))</f>
        <v/>
      </c>
    </row>
    <row r="274">
      <c r="A274" s="22" t="n"/>
      <c r="B274" s="19" t="n"/>
      <c r="C274" s="19" t="n"/>
      <c r="D274" s="17">
        <f>IF(C274="","",IF(C274&gt;='Quy dinh'!$B$5,"Đạt","Chưa đủ"))</f>
        <v/>
      </c>
      <c r="E274" s="7">
        <f>IF(C274="","",IF(AND(B274&lt;&gt;"",C274&gt;='Quy dinh'!$B$5),'Quy dinh'!$B$6,0))</f>
        <v/>
      </c>
      <c r="F274" s="19" t="n"/>
      <c r="G274" s="17">
        <f>IF(A274="","",TEXT(A274,"yyyy-mm"))</f>
        <v/>
      </c>
    </row>
    <row r="275">
      <c r="A275" s="22" t="n"/>
      <c r="B275" s="19" t="n"/>
      <c r="C275" s="19" t="n"/>
      <c r="D275" s="17">
        <f>IF(C275="","",IF(C275&gt;='Quy dinh'!$B$5,"Đạt","Chưa đủ"))</f>
        <v/>
      </c>
      <c r="E275" s="7">
        <f>IF(C275="","",IF(AND(B275&lt;&gt;"",C275&gt;='Quy dinh'!$B$5),'Quy dinh'!$B$6,0))</f>
        <v/>
      </c>
      <c r="F275" s="19" t="n"/>
      <c r="G275" s="17">
        <f>IF(A275="","",TEXT(A275,"yyyy-mm"))</f>
        <v/>
      </c>
    </row>
    <row r="276">
      <c r="A276" s="22" t="n"/>
      <c r="B276" s="19" t="n"/>
      <c r="C276" s="19" t="n"/>
      <c r="D276" s="17">
        <f>IF(C276="","",IF(C276&gt;='Quy dinh'!$B$5,"Đạt","Chưa đủ"))</f>
        <v/>
      </c>
      <c r="E276" s="7">
        <f>IF(C276="","",IF(AND(B276&lt;&gt;"",C276&gt;='Quy dinh'!$B$5),'Quy dinh'!$B$6,0))</f>
        <v/>
      </c>
      <c r="F276" s="19" t="n"/>
      <c r="G276" s="17">
        <f>IF(A276="","",TEXT(A276,"yyyy-mm"))</f>
        <v/>
      </c>
    </row>
    <row r="277">
      <c r="A277" s="22" t="n"/>
      <c r="B277" s="19" t="n"/>
      <c r="C277" s="19" t="n"/>
      <c r="D277" s="17">
        <f>IF(C277="","",IF(C277&gt;='Quy dinh'!$B$5,"Đạt","Chưa đủ"))</f>
        <v/>
      </c>
      <c r="E277" s="7">
        <f>IF(C277="","",IF(AND(B277&lt;&gt;"",C277&gt;='Quy dinh'!$B$5),'Quy dinh'!$B$6,0))</f>
        <v/>
      </c>
      <c r="F277" s="19" t="n"/>
      <c r="G277" s="17">
        <f>IF(A277="","",TEXT(A277,"yyyy-mm"))</f>
        <v/>
      </c>
    </row>
    <row r="278">
      <c r="A278" s="22" t="n"/>
      <c r="B278" s="19" t="n"/>
      <c r="C278" s="19" t="n"/>
      <c r="D278" s="17">
        <f>IF(C278="","",IF(C278&gt;='Quy dinh'!$B$5,"Đạt","Chưa đủ"))</f>
        <v/>
      </c>
      <c r="E278" s="7">
        <f>IF(C278="","",IF(AND(B278&lt;&gt;"",C278&gt;='Quy dinh'!$B$5),'Quy dinh'!$B$6,0))</f>
        <v/>
      </c>
      <c r="F278" s="19" t="n"/>
      <c r="G278" s="17">
        <f>IF(A278="","",TEXT(A278,"yyyy-mm"))</f>
        <v/>
      </c>
    </row>
    <row r="279">
      <c r="A279" s="22" t="n"/>
      <c r="B279" s="19" t="n"/>
      <c r="C279" s="19" t="n"/>
      <c r="D279" s="17">
        <f>IF(C279="","",IF(C279&gt;='Quy dinh'!$B$5,"Đạt","Chưa đủ"))</f>
        <v/>
      </c>
      <c r="E279" s="7">
        <f>IF(C279="","",IF(AND(B279&lt;&gt;"",C279&gt;='Quy dinh'!$B$5),'Quy dinh'!$B$6,0))</f>
        <v/>
      </c>
      <c r="F279" s="19" t="n"/>
      <c r="G279" s="17">
        <f>IF(A279="","",TEXT(A279,"yyyy-mm"))</f>
        <v/>
      </c>
    </row>
    <row r="280">
      <c r="A280" s="22" t="n"/>
      <c r="B280" s="19" t="n"/>
      <c r="C280" s="19" t="n"/>
      <c r="D280" s="17">
        <f>IF(C280="","",IF(C280&gt;='Quy dinh'!$B$5,"Đạt","Chưa đủ"))</f>
        <v/>
      </c>
      <c r="E280" s="7">
        <f>IF(C280="","",IF(AND(B280&lt;&gt;"",C280&gt;='Quy dinh'!$B$5),'Quy dinh'!$B$6,0))</f>
        <v/>
      </c>
      <c r="F280" s="19" t="n"/>
      <c r="G280" s="17">
        <f>IF(A280="","",TEXT(A280,"yyyy-mm"))</f>
        <v/>
      </c>
    </row>
    <row r="281">
      <c r="A281" s="22" t="n"/>
      <c r="B281" s="19" t="n"/>
      <c r="C281" s="19" t="n"/>
      <c r="D281" s="17">
        <f>IF(C281="","",IF(C281&gt;='Quy dinh'!$B$5,"Đạt","Chưa đủ"))</f>
        <v/>
      </c>
      <c r="E281" s="7">
        <f>IF(C281="","",IF(AND(B281&lt;&gt;"",C281&gt;='Quy dinh'!$B$5),'Quy dinh'!$B$6,0))</f>
        <v/>
      </c>
      <c r="F281" s="19" t="n"/>
      <c r="G281" s="17">
        <f>IF(A281="","",TEXT(A281,"yyyy-mm"))</f>
        <v/>
      </c>
    </row>
    <row r="282">
      <c r="A282" s="22" t="n"/>
      <c r="B282" s="19" t="n"/>
      <c r="C282" s="19" t="n"/>
      <c r="D282" s="17">
        <f>IF(C282="","",IF(C282&gt;='Quy dinh'!$B$5,"Đạt","Chưa đủ"))</f>
        <v/>
      </c>
      <c r="E282" s="7">
        <f>IF(C282="","",IF(AND(B282&lt;&gt;"",C282&gt;='Quy dinh'!$B$5),'Quy dinh'!$B$6,0))</f>
        <v/>
      </c>
      <c r="F282" s="19" t="n"/>
      <c r="G282" s="17">
        <f>IF(A282="","",TEXT(A282,"yyyy-mm"))</f>
        <v/>
      </c>
    </row>
    <row r="283">
      <c r="A283" s="22" t="n"/>
      <c r="B283" s="19" t="n"/>
      <c r="C283" s="19" t="n"/>
      <c r="D283" s="17">
        <f>IF(C283="","",IF(C283&gt;='Quy dinh'!$B$5,"Đạt","Chưa đủ"))</f>
        <v/>
      </c>
      <c r="E283" s="7">
        <f>IF(C283="","",IF(AND(B283&lt;&gt;"",C283&gt;='Quy dinh'!$B$5),'Quy dinh'!$B$6,0))</f>
        <v/>
      </c>
      <c r="F283" s="19" t="n"/>
      <c r="G283" s="17">
        <f>IF(A283="","",TEXT(A283,"yyyy-mm"))</f>
        <v/>
      </c>
    </row>
    <row r="284">
      <c r="A284" s="22" t="n"/>
      <c r="B284" s="19" t="n"/>
      <c r="C284" s="19" t="n"/>
      <c r="D284" s="17">
        <f>IF(C284="","",IF(C284&gt;='Quy dinh'!$B$5,"Đạt","Chưa đủ"))</f>
        <v/>
      </c>
      <c r="E284" s="7">
        <f>IF(C284="","",IF(AND(B284&lt;&gt;"",C284&gt;='Quy dinh'!$B$5),'Quy dinh'!$B$6,0))</f>
        <v/>
      </c>
      <c r="F284" s="19" t="n"/>
      <c r="G284" s="17">
        <f>IF(A284="","",TEXT(A284,"yyyy-mm"))</f>
        <v/>
      </c>
    </row>
    <row r="285">
      <c r="A285" s="22" t="n"/>
      <c r="B285" s="19" t="n"/>
      <c r="C285" s="19" t="n"/>
      <c r="D285" s="17">
        <f>IF(C285="","",IF(C285&gt;='Quy dinh'!$B$5,"Đạt","Chưa đủ"))</f>
        <v/>
      </c>
      <c r="E285" s="7">
        <f>IF(C285="","",IF(AND(B285&lt;&gt;"",C285&gt;='Quy dinh'!$B$5),'Quy dinh'!$B$6,0))</f>
        <v/>
      </c>
      <c r="F285" s="19" t="n"/>
      <c r="G285" s="17">
        <f>IF(A285="","",TEXT(A285,"yyyy-mm"))</f>
        <v/>
      </c>
    </row>
    <row r="286">
      <c r="A286" s="22" t="n"/>
      <c r="B286" s="19" t="n"/>
      <c r="C286" s="19" t="n"/>
      <c r="D286" s="17">
        <f>IF(C286="","",IF(C286&gt;='Quy dinh'!$B$5,"Đạt","Chưa đủ"))</f>
        <v/>
      </c>
      <c r="E286" s="7">
        <f>IF(C286="","",IF(AND(B286&lt;&gt;"",C286&gt;='Quy dinh'!$B$5),'Quy dinh'!$B$6,0))</f>
        <v/>
      </c>
      <c r="F286" s="19" t="n"/>
      <c r="G286" s="17">
        <f>IF(A286="","",TEXT(A286,"yyyy-mm"))</f>
        <v/>
      </c>
    </row>
    <row r="287">
      <c r="A287" s="22" t="n"/>
      <c r="B287" s="19" t="n"/>
      <c r="C287" s="19" t="n"/>
      <c r="D287" s="17">
        <f>IF(C287="","",IF(C287&gt;='Quy dinh'!$B$5,"Đạt","Chưa đủ"))</f>
        <v/>
      </c>
      <c r="E287" s="7">
        <f>IF(C287="","",IF(AND(B287&lt;&gt;"",C287&gt;='Quy dinh'!$B$5),'Quy dinh'!$B$6,0))</f>
        <v/>
      </c>
      <c r="F287" s="19" t="n"/>
      <c r="G287" s="17">
        <f>IF(A287="","",TEXT(A287,"yyyy-mm"))</f>
        <v/>
      </c>
    </row>
    <row r="288">
      <c r="A288" s="22" t="n"/>
      <c r="B288" s="19" t="n"/>
      <c r="C288" s="19" t="n"/>
      <c r="D288" s="17">
        <f>IF(C288="","",IF(C288&gt;='Quy dinh'!$B$5,"Đạt","Chưa đủ"))</f>
        <v/>
      </c>
      <c r="E288" s="7">
        <f>IF(C288="","",IF(AND(B288&lt;&gt;"",C288&gt;='Quy dinh'!$B$5),'Quy dinh'!$B$6,0))</f>
        <v/>
      </c>
      <c r="F288" s="19" t="n"/>
      <c r="G288" s="17">
        <f>IF(A288="","",TEXT(A288,"yyyy-mm"))</f>
        <v/>
      </c>
    </row>
    <row r="289">
      <c r="A289" s="22" t="n"/>
      <c r="B289" s="19" t="n"/>
      <c r="C289" s="19" t="n"/>
      <c r="D289" s="17">
        <f>IF(C289="","",IF(C289&gt;='Quy dinh'!$B$5,"Đạt","Chưa đủ"))</f>
        <v/>
      </c>
      <c r="E289" s="7">
        <f>IF(C289="","",IF(AND(B289&lt;&gt;"",C289&gt;='Quy dinh'!$B$5),'Quy dinh'!$B$6,0))</f>
        <v/>
      </c>
      <c r="F289" s="19" t="n"/>
      <c r="G289" s="17">
        <f>IF(A289="","",TEXT(A289,"yyyy-mm"))</f>
        <v/>
      </c>
    </row>
    <row r="290">
      <c r="A290" s="22" t="n"/>
      <c r="B290" s="19" t="n"/>
      <c r="C290" s="19" t="n"/>
      <c r="D290" s="17">
        <f>IF(C290="","",IF(C290&gt;='Quy dinh'!$B$5,"Đạt","Chưa đủ"))</f>
        <v/>
      </c>
      <c r="E290" s="7">
        <f>IF(C290="","",IF(AND(B290&lt;&gt;"",C290&gt;='Quy dinh'!$B$5),'Quy dinh'!$B$6,0))</f>
        <v/>
      </c>
      <c r="F290" s="19" t="n"/>
      <c r="G290" s="17">
        <f>IF(A290="","",TEXT(A290,"yyyy-mm"))</f>
        <v/>
      </c>
    </row>
    <row r="291">
      <c r="A291" s="22" t="n"/>
      <c r="B291" s="19" t="n"/>
      <c r="C291" s="19" t="n"/>
      <c r="D291" s="17">
        <f>IF(C291="","",IF(C291&gt;='Quy dinh'!$B$5,"Đạt","Chưa đủ"))</f>
        <v/>
      </c>
      <c r="E291" s="7">
        <f>IF(C291="","",IF(AND(B291&lt;&gt;"",C291&gt;='Quy dinh'!$B$5),'Quy dinh'!$B$6,0))</f>
        <v/>
      </c>
      <c r="F291" s="19" t="n"/>
      <c r="G291" s="17">
        <f>IF(A291="","",TEXT(A291,"yyyy-mm"))</f>
        <v/>
      </c>
    </row>
    <row r="292">
      <c r="A292" s="22" t="n"/>
      <c r="B292" s="19" t="n"/>
      <c r="C292" s="19" t="n"/>
      <c r="D292" s="17">
        <f>IF(C292="","",IF(C292&gt;='Quy dinh'!$B$5,"Đạt","Chưa đủ"))</f>
        <v/>
      </c>
      <c r="E292" s="7">
        <f>IF(C292="","",IF(AND(B292&lt;&gt;"",C292&gt;='Quy dinh'!$B$5),'Quy dinh'!$B$6,0))</f>
        <v/>
      </c>
      <c r="F292" s="19" t="n"/>
      <c r="G292" s="17">
        <f>IF(A292="","",TEXT(A292,"yyyy-mm"))</f>
        <v/>
      </c>
    </row>
    <row r="293">
      <c r="A293" s="22" t="n"/>
      <c r="B293" s="19" t="n"/>
      <c r="C293" s="19" t="n"/>
      <c r="D293" s="17">
        <f>IF(C293="","",IF(C293&gt;='Quy dinh'!$B$5,"Đạt","Chưa đủ"))</f>
        <v/>
      </c>
      <c r="E293" s="7">
        <f>IF(C293="","",IF(AND(B293&lt;&gt;"",C293&gt;='Quy dinh'!$B$5),'Quy dinh'!$B$6,0))</f>
        <v/>
      </c>
      <c r="F293" s="19" t="n"/>
      <c r="G293" s="17">
        <f>IF(A293="","",TEXT(A293,"yyyy-mm"))</f>
        <v/>
      </c>
    </row>
    <row r="294">
      <c r="A294" s="22" t="n"/>
      <c r="B294" s="19" t="n"/>
      <c r="C294" s="19" t="n"/>
      <c r="D294" s="17">
        <f>IF(C294="","",IF(C294&gt;='Quy dinh'!$B$5,"Đạt","Chưa đủ"))</f>
        <v/>
      </c>
      <c r="E294" s="7">
        <f>IF(C294="","",IF(AND(B294&lt;&gt;"",C294&gt;='Quy dinh'!$B$5),'Quy dinh'!$B$6,0))</f>
        <v/>
      </c>
      <c r="F294" s="19" t="n"/>
      <c r="G294" s="17">
        <f>IF(A294="","",TEXT(A294,"yyyy-mm"))</f>
        <v/>
      </c>
    </row>
    <row r="295">
      <c r="A295" s="22" t="n"/>
      <c r="B295" s="19" t="n"/>
      <c r="C295" s="19" t="n"/>
      <c r="D295" s="17">
        <f>IF(C295="","",IF(C295&gt;='Quy dinh'!$B$5,"Đạt","Chưa đủ"))</f>
        <v/>
      </c>
      <c r="E295" s="7">
        <f>IF(C295="","",IF(AND(B295&lt;&gt;"",C295&gt;='Quy dinh'!$B$5),'Quy dinh'!$B$6,0))</f>
        <v/>
      </c>
      <c r="F295" s="19" t="n"/>
      <c r="G295" s="17">
        <f>IF(A295="","",TEXT(A295,"yyyy-mm"))</f>
        <v/>
      </c>
    </row>
    <row r="296">
      <c r="A296" s="22" t="n"/>
      <c r="B296" s="19" t="n"/>
      <c r="C296" s="19" t="n"/>
      <c r="D296" s="17">
        <f>IF(C296="","",IF(C296&gt;='Quy dinh'!$B$5,"Đạt","Chưa đủ"))</f>
        <v/>
      </c>
      <c r="E296" s="7">
        <f>IF(C296="","",IF(AND(B296&lt;&gt;"",C296&gt;='Quy dinh'!$B$5),'Quy dinh'!$B$6,0))</f>
        <v/>
      </c>
      <c r="F296" s="19" t="n"/>
      <c r="G296" s="17">
        <f>IF(A296="","",TEXT(A296,"yyyy-mm"))</f>
        <v/>
      </c>
    </row>
    <row r="297">
      <c r="A297" s="22" t="n"/>
      <c r="B297" s="19" t="n"/>
      <c r="C297" s="19" t="n"/>
      <c r="D297" s="17">
        <f>IF(C297="","",IF(C297&gt;='Quy dinh'!$B$5,"Đạt","Chưa đủ"))</f>
        <v/>
      </c>
      <c r="E297" s="7">
        <f>IF(C297="","",IF(AND(B297&lt;&gt;"",C297&gt;='Quy dinh'!$B$5),'Quy dinh'!$B$6,0))</f>
        <v/>
      </c>
      <c r="F297" s="19" t="n"/>
      <c r="G297" s="17">
        <f>IF(A297="","",TEXT(A297,"yyyy-mm"))</f>
        <v/>
      </c>
    </row>
    <row r="298">
      <c r="A298" s="22" t="n"/>
      <c r="B298" s="19" t="n"/>
      <c r="C298" s="19" t="n"/>
      <c r="D298" s="17">
        <f>IF(C298="","",IF(C298&gt;='Quy dinh'!$B$5,"Đạt","Chưa đủ"))</f>
        <v/>
      </c>
      <c r="E298" s="7">
        <f>IF(C298="","",IF(AND(B298&lt;&gt;"",C298&gt;='Quy dinh'!$B$5),'Quy dinh'!$B$6,0))</f>
        <v/>
      </c>
      <c r="F298" s="19" t="n"/>
      <c r="G298" s="17">
        <f>IF(A298="","",TEXT(A298,"yyyy-mm"))</f>
        <v/>
      </c>
    </row>
    <row r="299">
      <c r="A299" s="22" t="n"/>
      <c r="B299" s="19" t="n"/>
      <c r="C299" s="19" t="n"/>
      <c r="D299" s="17">
        <f>IF(C299="","",IF(C299&gt;='Quy dinh'!$B$5,"Đạt","Chưa đủ"))</f>
        <v/>
      </c>
      <c r="E299" s="7">
        <f>IF(C299="","",IF(AND(B299&lt;&gt;"",C299&gt;='Quy dinh'!$B$5),'Quy dinh'!$B$6,0))</f>
        <v/>
      </c>
      <c r="F299" s="19" t="n"/>
      <c r="G299" s="17">
        <f>IF(A299="","",TEXT(A299,"yyyy-mm"))</f>
        <v/>
      </c>
    </row>
    <row r="300">
      <c r="A300" s="22" t="n"/>
      <c r="B300" s="19" t="n"/>
      <c r="C300" s="19" t="n"/>
      <c r="D300" s="17">
        <f>IF(C300="","",IF(C300&gt;='Quy dinh'!$B$5,"Đạt","Chưa đủ"))</f>
        <v/>
      </c>
      <c r="E300" s="7">
        <f>IF(C300="","",IF(AND(B300&lt;&gt;"",C300&gt;='Quy dinh'!$B$5),'Quy dinh'!$B$6,0))</f>
        <v/>
      </c>
      <c r="F300" s="19" t="n"/>
      <c r="G300" s="17">
        <f>IF(A300="","",TEXT(A300,"yyyy-mm"))</f>
        <v/>
      </c>
    </row>
    <row r="301">
      <c r="A301" s="22" t="n"/>
      <c r="B301" s="19" t="n"/>
      <c r="C301" s="19" t="n"/>
      <c r="D301" s="17">
        <f>IF(C301="","",IF(C301&gt;='Quy dinh'!$B$5,"Đạt","Chưa đủ"))</f>
        <v/>
      </c>
      <c r="E301" s="7">
        <f>IF(C301="","",IF(AND(B301&lt;&gt;"",C301&gt;='Quy dinh'!$B$5),'Quy dinh'!$B$6,0))</f>
        <v/>
      </c>
      <c r="F301" s="19" t="n"/>
      <c r="G301" s="17">
        <f>IF(A301="","",TEXT(A301,"yyyy-mm"))</f>
        <v/>
      </c>
    </row>
    <row r="302">
      <c r="A302" s="22" t="n"/>
      <c r="B302" s="19" t="n"/>
      <c r="C302" s="19" t="n"/>
      <c r="D302" s="17">
        <f>IF(C302="","",IF(C302&gt;='Quy dinh'!$B$5,"Đạt","Chưa đủ"))</f>
        <v/>
      </c>
      <c r="E302" s="7">
        <f>IF(C302="","",IF(AND(B302&lt;&gt;"",C302&gt;='Quy dinh'!$B$5),'Quy dinh'!$B$6,0))</f>
        <v/>
      </c>
      <c r="F302" s="19" t="n"/>
      <c r="G302" s="17">
        <f>IF(A302="","",TEXT(A302,"yyyy-mm"))</f>
        <v/>
      </c>
    </row>
    <row r="303">
      <c r="A303" s="22" t="n"/>
      <c r="B303" s="19" t="n"/>
      <c r="C303" s="19" t="n"/>
      <c r="D303" s="17">
        <f>IF(C303="","",IF(C303&gt;='Quy dinh'!$B$5,"Đạt","Chưa đủ"))</f>
        <v/>
      </c>
      <c r="E303" s="7">
        <f>IF(C303="","",IF(AND(B303&lt;&gt;"",C303&gt;='Quy dinh'!$B$5),'Quy dinh'!$B$6,0))</f>
        <v/>
      </c>
      <c r="F303" s="19" t="n"/>
      <c r="G303" s="17">
        <f>IF(A303="","",TEXT(A303,"yyyy-mm"))</f>
        <v/>
      </c>
    </row>
    <row r="304">
      <c r="A304" s="22" t="n"/>
      <c r="B304" s="19" t="n"/>
      <c r="C304" s="19" t="n"/>
      <c r="D304" s="17">
        <f>IF(C304="","",IF(C304&gt;='Quy dinh'!$B$5,"Đạt","Chưa đủ"))</f>
        <v/>
      </c>
      <c r="E304" s="7">
        <f>IF(C304="","",IF(AND(B304&lt;&gt;"",C304&gt;='Quy dinh'!$B$5),'Quy dinh'!$B$6,0))</f>
        <v/>
      </c>
      <c r="F304" s="19" t="n"/>
      <c r="G304" s="17">
        <f>IF(A304="","",TEXT(A304,"yyyy-mm"))</f>
        <v/>
      </c>
    </row>
    <row r="305">
      <c r="A305" s="22" t="n"/>
      <c r="B305" s="19" t="n"/>
      <c r="C305" s="19" t="n"/>
      <c r="D305" s="17">
        <f>IF(C305="","",IF(C305&gt;='Quy dinh'!$B$5,"Đạt","Chưa đủ"))</f>
        <v/>
      </c>
      <c r="E305" s="7">
        <f>IF(C305="","",IF(AND(B305&lt;&gt;"",C305&gt;='Quy dinh'!$B$5),'Quy dinh'!$B$6,0))</f>
        <v/>
      </c>
      <c r="F305" s="19" t="n"/>
      <c r="G305" s="17">
        <f>IF(A305="","",TEXT(A305,"yyyy-mm"))</f>
        <v/>
      </c>
    </row>
    <row r="306">
      <c r="A306" s="22" t="n"/>
      <c r="B306" s="19" t="n"/>
      <c r="C306" s="19" t="n"/>
      <c r="D306" s="17">
        <f>IF(C306="","",IF(C306&gt;='Quy dinh'!$B$5,"Đạt","Chưa đủ"))</f>
        <v/>
      </c>
      <c r="E306" s="7">
        <f>IF(C306="","",IF(AND(B306&lt;&gt;"",C306&gt;='Quy dinh'!$B$5),'Quy dinh'!$B$6,0))</f>
        <v/>
      </c>
      <c r="F306" s="19" t="n"/>
      <c r="G306" s="17">
        <f>IF(A306="","",TEXT(A306,"yyyy-mm"))</f>
        <v/>
      </c>
    </row>
    <row r="307">
      <c r="A307" s="22" t="n"/>
      <c r="B307" s="19" t="n"/>
      <c r="C307" s="19" t="n"/>
      <c r="D307" s="17">
        <f>IF(C307="","",IF(C307&gt;='Quy dinh'!$B$5,"Đạt","Chưa đủ"))</f>
        <v/>
      </c>
      <c r="E307" s="7">
        <f>IF(C307="","",IF(AND(B307&lt;&gt;"",C307&gt;='Quy dinh'!$B$5),'Quy dinh'!$B$6,0))</f>
        <v/>
      </c>
      <c r="F307" s="19" t="n"/>
      <c r="G307" s="17">
        <f>IF(A307="","",TEXT(A307,"yyyy-mm"))</f>
        <v/>
      </c>
    </row>
    <row r="308">
      <c r="A308" s="22" t="n"/>
      <c r="B308" s="19" t="n"/>
      <c r="C308" s="19" t="n"/>
      <c r="D308" s="17">
        <f>IF(C308="","",IF(C308&gt;='Quy dinh'!$B$5,"Đạt","Chưa đủ"))</f>
        <v/>
      </c>
      <c r="E308" s="7">
        <f>IF(C308="","",IF(AND(B308&lt;&gt;"",C308&gt;='Quy dinh'!$B$5),'Quy dinh'!$B$6,0))</f>
        <v/>
      </c>
      <c r="F308" s="19" t="n"/>
      <c r="G308" s="17">
        <f>IF(A308="","",TEXT(A308,"yyyy-mm"))</f>
        <v/>
      </c>
    </row>
    <row r="309">
      <c r="A309" s="22" t="n"/>
      <c r="B309" s="19" t="n"/>
      <c r="C309" s="19" t="n"/>
      <c r="D309" s="17">
        <f>IF(C309="","",IF(C309&gt;='Quy dinh'!$B$5,"Đạt","Chưa đủ"))</f>
        <v/>
      </c>
      <c r="E309" s="7">
        <f>IF(C309="","",IF(AND(B309&lt;&gt;"",C309&gt;='Quy dinh'!$B$5),'Quy dinh'!$B$6,0))</f>
        <v/>
      </c>
      <c r="F309" s="19" t="n"/>
      <c r="G309" s="17">
        <f>IF(A309="","",TEXT(A309,"yyyy-mm"))</f>
        <v/>
      </c>
    </row>
    <row r="310">
      <c r="A310" s="22" t="n"/>
      <c r="B310" s="19" t="n"/>
      <c r="C310" s="19" t="n"/>
      <c r="D310" s="17">
        <f>IF(C310="","",IF(C310&gt;='Quy dinh'!$B$5,"Đạt","Chưa đủ"))</f>
        <v/>
      </c>
      <c r="E310" s="7">
        <f>IF(C310="","",IF(AND(B310&lt;&gt;"",C310&gt;='Quy dinh'!$B$5),'Quy dinh'!$B$6,0))</f>
        <v/>
      </c>
      <c r="F310" s="19" t="n"/>
      <c r="G310" s="17">
        <f>IF(A310="","",TEXT(A310,"yyyy-mm"))</f>
        <v/>
      </c>
    </row>
    <row r="311">
      <c r="A311" s="22" t="n"/>
      <c r="B311" s="19" t="n"/>
      <c r="C311" s="19" t="n"/>
      <c r="D311" s="17">
        <f>IF(C311="","",IF(C311&gt;='Quy dinh'!$B$5,"Đạt","Chưa đủ"))</f>
        <v/>
      </c>
      <c r="E311" s="7">
        <f>IF(C311="","",IF(AND(B311&lt;&gt;"",C311&gt;='Quy dinh'!$B$5),'Quy dinh'!$B$6,0))</f>
        <v/>
      </c>
      <c r="F311" s="19" t="n"/>
      <c r="G311" s="17">
        <f>IF(A311="","",TEXT(A311,"yyyy-mm"))</f>
        <v/>
      </c>
    </row>
    <row r="312">
      <c r="A312" s="22" t="n"/>
      <c r="B312" s="19" t="n"/>
      <c r="C312" s="19" t="n"/>
      <c r="D312" s="17">
        <f>IF(C312="","",IF(C312&gt;='Quy dinh'!$B$5,"Đạt","Chưa đủ"))</f>
        <v/>
      </c>
      <c r="E312" s="7">
        <f>IF(C312="","",IF(AND(B312&lt;&gt;"",C312&gt;='Quy dinh'!$B$5),'Quy dinh'!$B$6,0))</f>
        <v/>
      </c>
      <c r="F312" s="19" t="n"/>
      <c r="G312" s="17">
        <f>IF(A312="","",TEXT(A312,"yyyy-mm"))</f>
        <v/>
      </c>
    </row>
    <row r="313">
      <c r="A313" s="22" t="n"/>
      <c r="B313" s="19" t="n"/>
      <c r="C313" s="19" t="n"/>
      <c r="D313" s="17">
        <f>IF(C313="","",IF(C313&gt;='Quy dinh'!$B$5,"Đạt","Chưa đủ"))</f>
        <v/>
      </c>
      <c r="E313" s="7">
        <f>IF(C313="","",IF(AND(B313&lt;&gt;"",C313&gt;='Quy dinh'!$B$5),'Quy dinh'!$B$6,0))</f>
        <v/>
      </c>
      <c r="F313" s="19" t="n"/>
      <c r="G313" s="17">
        <f>IF(A313="","",TEXT(A313,"yyyy-mm"))</f>
        <v/>
      </c>
    </row>
    <row r="314">
      <c r="A314" s="22" t="n"/>
      <c r="B314" s="19" t="n"/>
      <c r="C314" s="19" t="n"/>
      <c r="D314" s="17">
        <f>IF(C314="","",IF(C314&gt;='Quy dinh'!$B$5,"Đạt","Chưa đủ"))</f>
        <v/>
      </c>
      <c r="E314" s="7">
        <f>IF(C314="","",IF(AND(B314&lt;&gt;"",C314&gt;='Quy dinh'!$B$5),'Quy dinh'!$B$6,0))</f>
        <v/>
      </c>
      <c r="F314" s="19" t="n"/>
      <c r="G314" s="17">
        <f>IF(A314="","",TEXT(A314,"yyyy-mm"))</f>
        <v/>
      </c>
    </row>
    <row r="315">
      <c r="A315" s="22" t="n"/>
      <c r="B315" s="19" t="n"/>
      <c r="C315" s="19" t="n"/>
      <c r="D315" s="17">
        <f>IF(C315="","",IF(C315&gt;='Quy dinh'!$B$5,"Đạt","Chưa đủ"))</f>
        <v/>
      </c>
      <c r="E315" s="7">
        <f>IF(C315="","",IF(AND(B315&lt;&gt;"",C315&gt;='Quy dinh'!$B$5),'Quy dinh'!$B$6,0))</f>
        <v/>
      </c>
      <c r="F315" s="19" t="n"/>
      <c r="G315" s="17">
        <f>IF(A315="","",TEXT(A315,"yyyy-mm"))</f>
        <v/>
      </c>
    </row>
    <row r="316">
      <c r="A316" s="22" t="n"/>
      <c r="B316" s="19" t="n"/>
      <c r="C316" s="19" t="n"/>
      <c r="D316" s="17">
        <f>IF(C316="","",IF(C316&gt;='Quy dinh'!$B$5,"Đạt","Chưa đủ"))</f>
        <v/>
      </c>
      <c r="E316" s="7">
        <f>IF(C316="","",IF(AND(B316&lt;&gt;"",C316&gt;='Quy dinh'!$B$5),'Quy dinh'!$B$6,0))</f>
        <v/>
      </c>
      <c r="F316" s="19" t="n"/>
      <c r="G316" s="17">
        <f>IF(A316="","",TEXT(A316,"yyyy-mm"))</f>
        <v/>
      </c>
    </row>
    <row r="317">
      <c r="A317" s="22" t="n"/>
      <c r="B317" s="19" t="n"/>
      <c r="C317" s="19" t="n"/>
      <c r="D317" s="17">
        <f>IF(C317="","",IF(C317&gt;='Quy dinh'!$B$5,"Đạt","Chưa đủ"))</f>
        <v/>
      </c>
      <c r="E317" s="7">
        <f>IF(C317="","",IF(AND(B317&lt;&gt;"",C317&gt;='Quy dinh'!$B$5),'Quy dinh'!$B$6,0))</f>
        <v/>
      </c>
      <c r="F317" s="19" t="n"/>
      <c r="G317" s="17">
        <f>IF(A317="","",TEXT(A317,"yyyy-mm"))</f>
        <v/>
      </c>
    </row>
    <row r="318">
      <c r="A318" s="22" t="n"/>
      <c r="B318" s="19" t="n"/>
      <c r="C318" s="19" t="n"/>
      <c r="D318" s="17">
        <f>IF(C318="","",IF(C318&gt;='Quy dinh'!$B$5,"Đạt","Chưa đủ"))</f>
        <v/>
      </c>
      <c r="E318" s="7">
        <f>IF(C318="","",IF(AND(B318&lt;&gt;"",C318&gt;='Quy dinh'!$B$5),'Quy dinh'!$B$6,0))</f>
        <v/>
      </c>
      <c r="F318" s="19" t="n"/>
      <c r="G318" s="17">
        <f>IF(A318="","",TEXT(A318,"yyyy-mm"))</f>
        <v/>
      </c>
    </row>
    <row r="319">
      <c r="A319" s="22" t="n"/>
      <c r="B319" s="19" t="n"/>
      <c r="C319" s="19" t="n"/>
      <c r="D319" s="17">
        <f>IF(C319="","",IF(C319&gt;='Quy dinh'!$B$5,"Đạt","Chưa đủ"))</f>
        <v/>
      </c>
      <c r="E319" s="7">
        <f>IF(C319="","",IF(AND(B319&lt;&gt;"",C319&gt;='Quy dinh'!$B$5),'Quy dinh'!$B$6,0))</f>
        <v/>
      </c>
      <c r="F319" s="19" t="n"/>
      <c r="G319" s="17">
        <f>IF(A319="","",TEXT(A319,"yyyy-mm"))</f>
        <v/>
      </c>
    </row>
    <row r="320">
      <c r="A320" s="22" t="n"/>
      <c r="B320" s="19" t="n"/>
      <c r="C320" s="19" t="n"/>
      <c r="D320" s="17">
        <f>IF(C320="","",IF(C320&gt;='Quy dinh'!$B$5,"Đạt","Chưa đủ"))</f>
        <v/>
      </c>
      <c r="E320" s="7">
        <f>IF(C320="","",IF(AND(B320&lt;&gt;"",C320&gt;='Quy dinh'!$B$5),'Quy dinh'!$B$6,0))</f>
        <v/>
      </c>
      <c r="F320" s="19" t="n"/>
      <c r="G320" s="17">
        <f>IF(A320="","",TEXT(A320,"yyyy-mm"))</f>
        <v/>
      </c>
    </row>
    <row r="321">
      <c r="A321" s="22" t="n"/>
      <c r="B321" s="19" t="n"/>
      <c r="C321" s="19" t="n"/>
      <c r="D321" s="17">
        <f>IF(C321="","",IF(C321&gt;='Quy dinh'!$B$5,"Đạt","Chưa đủ"))</f>
        <v/>
      </c>
      <c r="E321" s="7">
        <f>IF(C321="","",IF(AND(B321&lt;&gt;"",C321&gt;='Quy dinh'!$B$5),'Quy dinh'!$B$6,0))</f>
        <v/>
      </c>
      <c r="F321" s="19" t="n"/>
      <c r="G321" s="17">
        <f>IF(A321="","",TEXT(A321,"yyyy-mm"))</f>
        <v/>
      </c>
    </row>
    <row r="322">
      <c r="A322" s="22" t="n"/>
      <c r="B322" s="19" t="n"/>
      <c r="C322" s="19" t="n"/>
      <c r="D322" s="17">
        <f>IF(C322="","",IF(C322&gt;='Quy dinh'!$B$5,"Đạt","Chưa đủ"))</f>
        <v/>
      </c>
      <c r="E322" s="7">
        <f>IF(C322="","",IF(AND(B322&lt;&gt;"",C322&gt;='Quy dinh'!$B$5),'Quy dinh'!$B$6,0))</f>
        <v/>
      </c>
      <c r="F322" s="19" t="n"/>
      <c r="G322" s="17">
        <f>IF(A322="","",TEXT(A322,"yyyy-mm"))</f>
        <v/>
      </c>
    </row>
    <row r="323">
      <c r="A323" s="22" t="n"/>
      <c r="B323" s="19" t="n"/>
      <c r="C323" s="19" t="n"/>
      <c r="D323" s="17">
        <f>IF(C323="","",IF(C323&gt;='Quy dinh'!$B$5,"Đạt","Chưa đủ"))</f>
        <v/>
      </c>
      <c r="E323" s="7">
        <f>IF(C323="","",IF(AND(B323&lt;&gt;"",C323&gt;='Quy dinh'!$B$5),'Quy dinh'!$B$6,0))</f>
        <v/>
      </c>
      <c r="F323" s="19" t="n"/>
      <c r="G323" s="17">
        <f>IF(A323="","",TEXT(A323,"yyyy-mm"))</f>
        <v/>
      </c>
    </row>
    <row r="324">
      <c r="A324" s="22" t="n"/>
      <c r="B324" s="19" t="n"/>
      <c r="C324" s="19" t="n"/>
      <c r="D324" s="17">
        <f>IF(C324="","",IF(C324&gt;='Quy dinh'!$B$5,"Đạt","Chưa đủ"))</f>
        <v/>
      </c>
      <c r="E324" s="7">
        <f>IF(C324="","",IF(AND(B324&lt;&gt;"",C324&gt;='Quy dinh'!$B$5),'Quy dinh'!$B$6,0))</f>
        <v/>
      </c>
      <c r="F324" s="19" t="n"/>
      <c r="G324" s="17">
        <f>IF(A324="","",TEXT(A324,"yyyy-mm"))</f>
        <v/>
      </c>
    </row>
    <row r="325">
      <c r="A325" s="22" t="n"/>
      <c r="B325" s="19" t="n"/>
      <c r="C325" s="19" t="n"/>
      <c r="D325" s="17">
        <f>IF(C325="","",IF(C325&gt;='Quy dinh'!$B$5,"Đạt","Chưa đủ"))</f>
        <v/>
      </c>
      <c r="E325" s="7">
        <f>IF(C325="","",IF(AND(B325&lt;&gt;"",C325&gt;='Quy dinh'!$B$5),'Quy dinh'!$B$6,0))</f>
        <v/>
      </c>
      <c r="F325" s="19" t="n"/>
      <c r="G325" s="17">
        <f>IF(A325="","",TEXT(A325,"yyyy-mm"))</f>
        <v/>
      </c>
    </row>
    <row r="326">
      <c r="A326" s="22" t="n"/>
      <c r="B326" s="19" t="n"/>
      <c r="C326" s="19" t="n"/>
      <c r="D326" s="17">
        <f>IF(C326="","",IF(C326&gt;='Quy dinh'!$B$5,"Đạt","Chưa đủ"))</f>
        <v/>
      </c>
      <c r="E326" s="7">
        <f>IF(C326="","",IF(AND(B326&lt;&gt;"",C326&gt;='Quy dinh'!$B$5),'Quy dinh'!$B$6,0))</f>
        <v/>
      </c>
      <c r="F326" s="19" t="n"/>
      <c r="G326" s="17">
        <f>IF(A326="","",TEXT(A326,"yyyy-mm"))</f>
        <v/>
      </c>
    </row>
    <row r="327">
      <c r="A327" s="22" t="n"/>
      <c r="B327" s="19" t="n"/>
      <c r="C327" s="19" t="n"/>
      <c r="D327" s="17">
        <f>IF(C327="","",IF(C327&gt;='Quy dinh'!$B$5,"Đạt","Chưa đủ"))</f>
        <v/>
      </c>
      <c r="E327" s="7">
        <f>IF(C327="","",IF(AND(B327&lt;&gt;"",C327&gt;='Quy dinh'!$B$5),'Quy dinh'!$B$6,0))</f>
        <v/>
      </c>
      <c r="F327" s="19" t="n"/>
      <c r="G327" s="17">
        <f>IF(A327="","",TEXT(A327,"yyyy-mm"))</f>
        <v/>
      </c>
    </row>
    <row r="328">
      <c r="A328" s="22" t="n"/>
      <c r="B328" s="19" t="n"/>
      <c r="C328" s="19" t="n"/>
      <c r="D328" s="17">
        <f>IF(C328="","",IF(C328&gt;='Quy dinh'!$B$5,"Đạt","Chưa đủ"))</f>
        <v/>
      </c>
      <c r="E328" s="7">
        <f>IF(C328="","",IF(AND(B328&lt;&gt;"",C328&gt;='Quy dinh'!$B$5),'Quy dinh'!$B$6,0))</f>
        <v/>
      </c>
      <c r="F328" s="19" t="n"/>
      <c r="G328" s="17">
        <f>IF(A328="","",TEXT(A328,"yyyy-mm"))</f>
        <v/>
      </c>
    </row>
    <row r="329">
      <c r="A329" s="22" t="n"/>
      <c r="B329" s="19" t="n"/>
      <c r="C329" s="19" t="n"/>
      <c r="D329" s="17">
        <f>IF(C329="","",IF(C329&gt;='Quy dinh'!$B$5,"Đạt","Chưa đủ"))</f>
        <v/>
      </c>
      <c r="E329" s="7">
        <f>IF(C329="","",IF(AND(B329&lt;&gt;"",C329&gt;='Quy dinh'!$B$5),'Quy dinh'!$B$6,0))</f>
        <v/>
      </c>
      <c r="F329" s="19" t="n"/>
      <c r="G329" s="17">
        <f>IF(A329="","",TEXT(A329,"yyyy-mm"))</f>
        <v/>
      </c>
    </row>
    <row r="330">
      <c r="A330" s="22" t="n"/>
      <c r="B330" s="19" t="n"/>
      <c r="C330" s="19" t="n"/>
      <c r="D330" s="17">
        <f>IF(C330="","",IF(C330&gt;='Quy dinh'!$B$5,"Đạt","Chưa đủ"))</f>
        <v/>
      </c>
      <c r="E330" s="7">
        <f>IF(C330="","",IF(AND(B330&lt;&gt;"",C330&gt;='Quy dinh'!$B$5),'Quy dinh'!$B$6,0))</f>
        <v/>
      </c>
      <c r="F330" s="19" t="n"/>
      <c r="G330" s="17">
        <f>IF(A330="","",TEXT(A330,"yyyy-mm"))</f>
        <v/>
      </c>
    </row>
    <row r="331">
      <c r="A331" s="22" t="n"/>
      <c r="B331" s="19" t="n"/>
      <c r="C331" s="19" t="n"/>
      <c r="D331" s="17">
        <f>IF(C331="","",IF(C331&gt;='Quy dinh'!$B$5,"Đạt","Chưa đủ"))</f>
        <v/>
      </c>
      <c r="E331" s="7">
        <f>IF(C331="","",IF(AND(B331&lt;&gt;"",C331&gt;='Quy dinh'!$B$5),'Quy dinh'!$B$6,0))</f>
        <v/>
      </c>
      <c r="F331" s="19" t="n"/>
      <c r="G331" s="17">
        <f>IF(A331="","",TEXT(A331,"yyyy-mm"))</f>
        <v/>
      </c>
    </row>
    <row r="332">
      <c r="A332" s="22" t="n"/>
      <c r="B332" s="19" t="n"/>
      <c r="C332" s="19" t="n"/>
      <c r="D332" s="17">
        <f>IF(C332="","",IF(C332&gt;='Quy dinh'!$B$5,"Đạt","Chưa đủ"))</f>
        <v/>
      </c>
      <c r="E332" s="7">
        <f>IF(C332="","",IF(AND(B332&lt;&gt;"",C332&gt;='Quy dinh'!$B$5),'Quy dinh'!$B$6,0))</f>
        <v/>
      </c>
      <c r="F332" s="19" t="n"/>
      <c r="G332" s="17">
        <f>IF(A332="","",TEXT(A332,"yyyy-mm"))</f>
        <v/>
      </c>
    </row>
    <row r="333">
      <c r="A333" s="22" t="n"/>
      <c r="B333" s="19" t="n"/>
      <c r="C333" s="19" t="n"/>
      <c r="D333" s="17">
        <f>IF(C333="","",IF(C333&gt;='Quy dinh'!$B$5,"Đạt","Chưa đủ"))</f>
        <v/>
      </c>
      <c r="E333" s="7">
        <f>IF(C333="","",IF(AND(B333&lt;&gt;"",C333&gt;='Quy dinh'!$B$5),'Quy dinh'!$B$6,0))</f>
        <v/>
      </c>
      <c r="F333" s="19" t="n"/>
      <c r="G333" s="17">
        <f>IF(A333="","",TEXT(A333,"yyyy-mm"))</f>
        <v/>
      </c>
    </row>
    <row r="334">
      <c r="A334" s="22" t="n"/>
      <c r="B334" s="19" t="n"/>
      <c r="C334" s="19" t="n"/>
      <c r="D334" s="17">
        <f>IF(C334="","",IF(C334&gt;='Quy dinh'!$B$5,"Đạt","Chưa đủ"))</f>
        <v/>
      </c>
      <c r="E334" s="7">
        <f>IF(C334="","",IF(AND(B334&lt;&gt;"",C334&gt;='Quy dinh'!$B$5),'Quy dinh'!$B$6,0))</f>
        <v/>
      </c>
      <c r="F334" s="19" t="n"/>
      <c r="G334" s="17">
        <f>IF(A334="","",TEXT(A334,"yyyy-mm"))</f>
        <v/>
      </c>
    </row>
    <row r="335">
      <c r="A335" s="22" t="n"/>
      <c r="B335" s="19" t="n"/>
      <c r="C335" s="19" t="n"/>
      <c r="D335" s="17">
        <f>IF(C335="","",IF(C335&gt;='Quy dinh'!$B$5,"Đạt","Chưa đủ"))</f>
        <v/>
      </c>
      <c r="E335" s="7">
        <f>IF(C335="","",IF(AND(B335&lt;&gt;"",C335&gt;='Quy dinh'!$B$5),'Quy dinh'!$B$6,0))</f>
        <v/>
      </c>
      <c r="F335" s="19" t="n"/>
      <c r="G335" s="17">
        <f>IF(A335="","",TEXT(A335,"yyyy-mm"))</f>
        <v/>
      </c>
    </row>
    <row r="336">
      <c r="A336" s="22" t="n"/>
      <c r="B336" s="19" t="n"/>
      <c r="C336" s="19" t="n"/>
      <c r="D336" s="17">
        <f>IF(C336="","",IF(C336&gt;='Quy dinh'!$B$5,"Đạt","Chưa đủ"))</f>
        <v/>
      </c>
      <c r="E336" s="7">
        <f>IF(C336="","",IF(AND(B336&lt;&gt;"",C336&gt;='Quy dinh'!$B$5),'Quy dinh'!$B$6,0))</f>
        <v/>
      </c>
      <c r="F336" s="19" t="n"/>
      <c r="G336" s="17">
        <f>IF(A336="","",TEXT(A336,"yyyy-mm"))</f>
        <v/>
      </c>
    </row>
    <row r="337">
      <c r="A337" s="22" t="n"/>
      <c r="B337" s="19" t="n"/>
      <c r="C337" s="19" t="n"/>
      <c r="D337" s="17">
        <f>IF(C337="","",IF(C337&gt;='Quy dinh'!$B$5,"Đạt","Chưa đủ"))</f>
        <v/>
      </c>
      <c r="E337" s="7">
        <f>IF(C337="","",IF(AND(B337&lt;&gt;"",C337&gt;='Quy dinh'!$B$5),'Quy dinh'!$B$6,0))</f>
        <v/>
      </c>
      <c r="F337" s="19" t="n"/>
      <c r="G337" s="17">
        <f>IF(A337="","",TEXT(A337,"yyyy-mm"))</f>
        <v/>
      </c>
    </row>
    <row r="338">
      <c r="A338" s="22" t="n"/>
      <c r="B338" s="19" t="n"/>
      <c r="C338" s="19" t="n"/>
      <c r="D338" s="17">
        <f>IF(C338="","",IF(C338&gt;='Quy dinh'!$B$5,"Đạt","Chưa đủ"))</f>
        <v/>
      </c>
      <c r="E338" s="7">
        <f>IF(C338="","",IF(AND(B338&lt;&gt;"",C338&gt;='Quy dinh'!$B$5),'Quy dinh'!$B$6,0))</f>
        <v/>
      </c>
      <c r="F338" s="19" t="n"/>
      <c r="G338" s="17">
        <f>IF(A338="","",TEXT(A338,"yyyy-mm"))</f>
        <v/>
      </c>
    </row>
    <row r="339">
      <c r="A339" s="22" t="n"/>
      <c r="B339" s="19" t="n"/>
      <c r="C339" s="19" t="n"/>
      <c r="D339" s="17">
        <f>IF(C339="","",IF(C339&gt;='Quy dinh'!$B$5,"Đạt","Chưa đủ"))</f>
        <v/>
      </c>
      <c r="E339" s="7">
        <f>IF(C339="","",IF(AND(B339&lt;&gt;"",C339&gt;='Quy dinh'!$B$5),'Quy dinh'!$B$6,0))</f>
        <v/>
      </c>
      <c r="F339" s="19" t="n"/>
      <c r="G339" s="17">
        <f>IF(A339="","",TEXT(A339,"yyyy-mm"))</f>
        <v/>
      </c>
    </row>
    <row r="340">
      <c r="A340" s="22" t="n"/>
      <c r="B340" s="19" t="n"/>
      <c r="C340" s="19" t="n"/>
      <c r="D340" s="17">
        <f>IF(C340="","",IF(C340&gt;='Quy dinh'!$B$5,"Đạt","Chưa đủ"))</f>
        <v/>
      </c>
      <c r="E340" s="7">
        <f>IF(C340="","",IF(AND(B340&lt;&gt;"",C340&gt;='Quy dinh'!$B$5),'Quy dinh'!$B$6,0))</f>
        <v/>
      </c>
      <c r="F340" s="19" t="n"/>
      <c r="G340" s="17">
        <f>IF(A340="","",TEXT(A340,"yyyy-mm"))</f>
        <v/>
      </c>
    </row>
    <row r="341">
      <c r="A341" s="22" t="n"/>
      <c r="B341" s="19" t="n"/>
      <c r="C341" s="19" t="n"/>
      <c r="D341" s="17">
        <f>IF(C341="","",IF(C341&gt;='Quy dinh'!$B$5,"Đạt","Chưa đủ"))</f>
        <v/>
      </c>
      <c r="E341" s="7">
        <f>IF(C341="","",IF(AND(B341&lt;&gt;"",C341&gt;='Quy dinh'!$B$5),'Quy dinh'!$B$6,0))</f>
        <v/>
      </c>
      <c r="F341" s="19" t="n"/>
      <c r="G341" s="17">
        <f>IF(A341="","",TEXT(A341,"yyyy-mm"))</f>
        <v/>
      </c>
    </row>
    <row r="342">
      <c r="A342" s="22" t="n"/>
      <c r="B342" s="19" t="n"/>
      <c r="C342" s="19" t="n"/>
      <c r="D342" s="17">
        <f>IF(C342="","",IF(C342&gt;='Quy dinh'!$B$5,"Đạt","Chưa đủ"))</f>
        <v/>
      </c>
      <c r="E342" s="7">
        <f>IF(C342="","",IF(AND(B342&lt;&gt;"",C342&gt;='Quy dinh'!$B$5),'Quy dinh'!$B$6,0))</f>
        <v/>
      </c>
      <c r="F342" s="19" t="n"/>
      <c r="G342" s="17">
        <f>IF(A342="","",TEXT(A342,"yyyy-mm"))</f>
        <v/>
      </c>
    </row>
    <row r="343">
      <c r="A343" s="22" t="n"/>
      <c r="B343" s="19" t="n"/>
      <c r="C343" s="19" t="n"/>
      <c r="D343" s="17">
        <f>IF(C343="","",IF(C343&gt;='Quy dinh'!$B$5,"Đạt","Chưa đủ"))</f>
        <v/>
      </c>
      <c r="E343" s="7">
        <f>IF(C343="","",IF(AND(B343&lt;&gt;"",C343&gt;='Quy dinh'!$B$5),'Quy dinh'!$B$6,0))</f>
        <v/>
      </c>
      <c r="F343" s="19" t="n"/>
      <c r="G343" s="17">
        <f>IF(A343="","",TEXT(A343,"yyyy-mm"))</f>
        <v/>
      </c>
    </row>
    <row r="344">
      <c r="A344" s="22" t="n"/>
      <c r="B344" s="19" t="n"/>
      <c r="C344" s="19" t="n"/>
      <c r="D344" s="17">
        <f>IF(C344="","",IF(C344&gt;='Quy dinh'!$B$5,"Đạt","Chưa đủ"))</f>
        <v/>
      </c>
      <c r="E344" s="7">
        <f>IF(C344="","",IF(AND(B344&lt;&gt;"",C344&gt;='Quy dinh'!$B$5),'Quy dinh'!$B$6,0))</f>
        <v/>
      </c>
      <c r="F344" s="19" t="n"/>
      <c r="G344" s="17">
        <f>IF(A344="","",TEXT(A344,"yyyy-mm"))</f>
        <v/>
      </c>
    </row>
    <row r="345">
      <c r="A345" s="22" t="n"/>
      <c r="B345" s="19" t="n"/>
      <c r="C345" s="19" t="n"/>
      <c r="D345" s="17">
        <f>IF(C345="","",IF(C345&gt;='Quy dinh'!$B$5,"Đạt","Chưa đủ"))</f>
        <v/>
      </c>
      <c r="E345" s="7">
        <f>IF(C345="","",IF(AND(B345&lt;&gt;"",C345&gt;='Quy dinh'!$B$5),'Quy dinh'!$B$6,0))</f>
        <v/>
      </c>
      <c r="F345" s="19" t="n"/>
      <c r="G345" s="17">
        <f>IF(A345="","",TEXT(A345,"yyyy-mm"))</f>
        <v/>
      </c>
    </row>
    <row r="346">
      <c r="A346" s="22" t="n"/>
      <c r="B346" s="19" t="n"/>
      <c r="C346" s="19" t="n"/>
      <c r="D346" s="17">
        <f>IF(C346="","",IF(C346&gt;='Quy dinh'!$B$5,"Đạt","Chưa đủ"))</f>
        <v/>
      </c>
      <c r="E346" s="7">
        <f>IF(C346="","",IF(AND(B346&lt;&gt;"",C346&gt;='Quy dinh'!$B$5),'Quy dinh'!$B$6,0))</f>
        <v/>
      </c>
      <c r="F346" s="19" t="n"/>
      <c r="G346" s="17">
        <f>IF(A346="","",TEXT(A346,"yyyy-mm"))</f>
        <v/>
      </c>
    </row>
    <row r="347">
      <c r="A347" s="22" t="n"/>
      <c r="B347" s="19" t="n"/>
      <c r="C347" s="19" t="n"/>
      <c r="D347" s="17">
        <f>IF(C347="","",IF(C347&gt;='Quy dinh'!$B$5,"Đạt","Chưa đủ"))</f>
        <v/>
      </c>
      <c r="E347" s="7">
        <f>IF(C347="","",IF(AND(B347&lt;&gt;"",C347&gt;='Quy dinh'!$B$5),'Quy dinh'!$B$6,0))</f>
        <v/>
      </c>
      <c r="F347" s="19" t="n"/>
      <c r="G347" s="17">
        <f>IF(A347="","",TEXT(A347,"yyyy-mm"))</f>
        <v/>
      </c>
    </row>
    <row r="348">
      <c r="A348" s="22" t="n"/>
      <c r="B348" s="19" t="n"/>
      <c r="C348" s="19" t="n"/>
      <c r="D348" s="17">
        <f>IF(C348="","",IF(C348&gt;='Quy dinh'!$B$5,"Đạt","Chưa đủ"))</f>
        <v/>
      </c>
      <c r="E348" s="7">
        <f>IF(C348="","",IF(AND(B348&lt;&gt;"",C348&gt;='Quy dinh'!$B$5),'Quy dinh'!$B$6,0))</f>
        <v/>
      </c>
      <c r="F348" s="19" t="n"/>
      <c r="G348" s="17">
        <f>IF(A348="","",TEXT(A348,"yyyy-mm"))</f>
        <v/>
      </c>
    </row>
    <row r="349">
      <c r="A349" s="22" t="n"/>
      <c r="B349" s="19" t="n"/>
      <c r="C349" s="19" t="n"/>
      <c r="D349" s="17">
        <f>IF(C349="","",IF(C349&gt;='Quy dinh'!$B$5,"Đạt","Chưa đủ"))</f>
        <v/>
      </c>
      <c r="E349" s="7">
        <f>IF(C349="","",IF(AND(B349&lt;&gt;"",C349&gt;='Quy dinh'!$B$5),'Quy dinh'!$B$6,0))</f>
        <v/>
      </c>
      <c r="F349" s="19" t="n"/>
      <c r="G349" s="17">
        <f>IF(A349="","",TEXT(A349,"yyyy-mm"))</f>
        <v/>
      </c>
    </row>
    <row r="350">
      <c r="A350" s="22" t="n"/>
      <c r="B350" s="19" t="n"/>
      <c r="C350" s="19" t="n"/>
      <c r="D350" s="17">
        <f>IF(C350="","",IF(C350&gt;='Quy dinh'!$B$5,"Đạt","Chưa đủ"))</f>
        <v/>
      </c>
      <c r="E350" s="7">
        <f>IF(C350="","",IF(AND(B350&lt;&gt;"",C350&gt;='Quy dinh'!$B$5),'Quy dinh'!$B$6,0))</f>
        <v/>
      </c>
      <c r="F350" s="19" t="n"/>
      <c r="G350" s="17">
        <f>IF(A350="","",TEXT(A350,"yyyy-mm"))</f>
        <v/>
      </c>
    </row>
    <row r="351">
      <c r="A351" s="22" t="n"/>
      <c r="B351" s="19" t="n"/>
      <c r="C351" s="19" t="n"/>
      <c r="D351" s="17">
        <f>IF(C351="","",IF(C351&gt;='Quy dinh'!$B$5,"Đạt","Chưa đủ"))</f>
        <v/>
      </c>
      <c r="E351" s="7">
        <f>IF(C351="","",IF(AND(B351&lt;&gt;"",C351&gt;='Quy dinh'!$B$5),'Quy dinh'!$B$6,0))</f>
        <v/>
      </c>
      <c r="F351" s="19" t="n"/>
      <c r="G351" s="17">
        <f>IF(A351="","",TEXT(A351,"yyyy-mm"))</f>
        <v/>
      </c>
    </row>
    <row r="352">
      <c r="A352" s="22" t="n"/>
      <c r="B352" s="19" t="n"/>
      <c r="C352" s="19" t="n"/>
      <c r="D352" s="17">
        <f>IF(C352="","",IF(C352&gt;='Quy dinh'!$B$5,"Đạt","Chưa đủ"))</f>
        <v/>
      </c>
      <c r="E352" s="7">
        <f>IF(C352="","",IF(AND(B352&lt;&gt;"",C352&gt;='Quy dinh'!$B$5),'Quy dinh'!$B$6,0))</f>
        <v/>
      </c>
      <c r="F352" s="19" t="n"/>
      <c r="G352" s="17">
        <f>IF(A352="","",TEXT(A352,"yyyy-mm"))</f>
        <v/>
      </c>
    </row>
    <row r="353">
      <c r="A353" s="22" t="n"/>
      <c r="B353" s="19" t="n"/>
      <c r="C353" s="19" t="n"/>
      <c r="D353" s="17">
        <f>IF(C353="","",IF(C353&gt;='Quy dinh'!$B$5,"Đạt","Chưa đủ"))</f>
        <v/>
      </c>
      <c r="E353" s="7">
        <f>IF(C353="","",IF(AND(B353&lt;&gt;"",C353&gt;='Quy dinh'!$B$5),'Quy dinh'!$B$6,0))</f>
        <v/>
      </c>
      <c r="F353" s="19" t="n"/>
      <c r="G353" s="17">
        <f>IF(A353="","",TEXT(A353,"yyyy-mm"))</f>
        <v/>
      </c>
    </row>
    <row r="354">
      <c r="A354" s="22" t="n"/>
      <c r="B354" s="19" t="n"/>
      <c r="C354" s="19" t="n"/>
      <c r="D354" s="17">
        <f>IF(C354="","",IF(C354&gt;='Quy dinh'!$B$5,"Đạt","Chưa đủ"))</f>
        <v/>
      </c>
      <c r="E354" s="7">
        <f>IF(C354="","",IF(AND(B354&lt;&gt;"",C354&gt;='Quy dinh'!$B$5),'Quy dinh'!$B$6,0))</f>
        <v/>
      </c>
      <c r="F354" s="19" t="n"/>
      <c r="G354" s="17">
        <f>IF(A354="","",TEXT(A354,"yyyy-mm"))</f>
        <v/>
      </c>
    </row>
    <row r="355">
      <c r="A355" s="22" t="n"/>
      <c r="B355" s="19" t="n"/>
      <c r="C355" s="19" t="n"/>
      <c r="D355" s="17">
        <f>IF(C355="","",IF(C355&gt;='Quy dinh'!$B$5,"Đạt","Chưa đủ"))</f>
        <v/>
      </c>
      <c r="E355" s="7">
        <f>IF(C355="","",IF(AND(B355&lt;&gt;"",C355&gt;='Quy dinh'!$B$5),'Quy dinh'!$B$6,0))</f>
        <v/>
      </c>
      <c r="F355" s="19" t="n"/>
      <c r="G355" s="17">
        <f>IF(A355="","",TEXT(A355,"yyyy-mm"))</f>
        <v/>
      </c>
    </row>
    <row r="356">
      <c r="A356" s="22" t="n"/>
      <c r="B356" s="19" t="n"/>
      <c r="C356" s="19" t="n"/>
      <c r="D356" s="17">
        <f>IF(C356="","",IF(C356&gt;='Quy dinh'!$B$5,"Đạt","Chưa đủ"))</f>
        <v/>
      </c>
      <c r="E356" s="7">
        <f>IF(C356="","",IF(AND(B356&lt;&gt;"",C356&gt;='Quy dinh'!$B$5),'Quy dinh'!$B$6,0))</f>
        <v/>
      </c>
      <c r="F356" s="19" t="n"/>
      <c r="G356" s="17">
        <f>IF(A356="","",TEXT(A356,"yyyy-mm"))</f>
        <v/>
      </c>
    </row>
    <row r="357">
      <c r="A357" s="22" t="n"/>
      <c r="B357" s="19" t="n"/>
      <c r="C357" s="19" t="n"/>
      <c r="D357" s="17">
        <f>IF(C357="","",IF(C357&gt;='Quy dinh'!$B$5,"Đạt","Chưa đủ"))</f>
        <v/>
      </c>
      <c r="E357" s="7">
        <f>IF(C357="","",IF(AND(B357&lt;&gt;"",C357&gt;='Quy dinh'!$B$5),'Quy dinh'!$B$6,0))</f>
        <v/>
      </c>
      <c r="F357" s="19" t="n"/>
      <c r="G357" s="17">
        <f>IF(A357="","",TEXT(A357,"yyyy-mm"))</f>
        <v/>
      </c>
    </row>
    <row r="358">
      <c r="A358" s="22" t="n"/>
      <c r="B358" s="19" t="n"/>
      <c r="C358" s="19" t="n"/>
      <c r="D358" s="17">
        <f>IF(C358="","",IF(C358&gt;='Quy dinh'!$B$5,"Đạt","Chưa đủ"))</f>
        <v/>
      </c>
      <c r="E358" s="7">
        <f>IF(C358="","",IF(AND(B358&lt;&gt;"",C358&gt;='Quy dinh'!$B$5),'Quy dinh'!$B$6,0))</f>
        <v/>
      </c>
      <c r="F358" s="19" t="n"/>
      <c r="G358" s="17">
        <f>IF(A358="","",TEXT(A358,"yyyy-mm"))</f>
        <v/>
      </c>
    </row>
    <row r="359">
      <c r="A359" s="22" t="n"/>
      <c r="B359" s="19" t="n"/>
      <c r="C359" s="19" t="n"/>
      <c r="D359" s="17">
        <f>IF(C359="","",IF(C359&gt;='Quy dinh'!$B$5,"Đạt","Chưa đủ"))</f>
        <v/>
      </c>
      <c r="E359" s="7">
        <f>IF(C359="","",IF(AND(B359&lt;&gt;"",C359&gt;='Quy dinh'!$B$5),'Quy dinh'!$B$6,0))</f>
        <v/>
      </c>
      <c r="F359" s="19" t="n"/>
      <c r="G359" s="17">
        <f>IF(A359="","",TEXT(A359,"yyyy-mm"))</f>
        <v/>
      </c>
    </row>
    <row r="360">
      <c r="A360" s="22" t="n"/>
      <c r="B360" s="19" t="n"/>
      <c r="C360" s="19" t="n"/>
      <c r="D360" s="17">
        <f>IF(C360="","",IF(C360&gt;='Quy dinh'!$B$5,"Đạt","Chưa đủ"))</f>
        <v/>
      </c>
      <c r="E360" s="7">
        <f>IF(C360="","",IF(AND(B360&lt;&gt;"",C360&gt;='Quy dinh'!$B$5),'Quy dinh'!$B$6,0))</f>
        <v/>
      </c>
      <c r="F360" s="19" t="n"/>
      <c r="G360" s="17">
        <f>IF(A360="","",TEXT(A360,"yyyy-mm"))</f>
        <v/>
      </c>
    </row>
    <row r="361">
      <c r="A361" s="22" t="n"/>
      <c r="B361" s="19" t="n"/>
      <c r="C361" s="19" t="n"/>
      <c r="D361" s="17">
        <f>IF(C361="","",IF(C361&gt;='Quy dinh'!$B$5,"Đạt","Chưa đủ"))</f>
        <v/>
      </c>
      <c r="E361" s="7">
        <f>IF(C361="","",IF(AND(B361&lt;&gt;"",C361&gt;='Quy dinh'!$B$5),'Quy dinh'!$B$6,0))</f>
        <v/>
      </c>
      <c r="F361" s="19" t="n"/>
      <c r="G361" s="17">
        <f>IF(A361="","",TEXT(A361,"yyyy-mm"))</f>
        <v/>
      </c>
    </row>
    <row r="362">
      <c r="A362" s="22" t="n"/>
      <c r="B362" s="19" t="n"/>
      <c r="C362" s="19" t="n"/>
      <c r="D362" s="17">
        <f>IF(C362="","",IF(C362&gt;='Quy dinh'!$B$5,"Đạt","Chưa đủ"))</f>
        <v/>
      </c>
      <c r="E362" s="7">
        <f>IF(C362="","",IF(AND(B362&lt;&gt;"",C362&gt;='Quy dinh'!$B$5),'Quy dinh'!$B$6,0))</f>
        <v/>
      </c>
      <c r="F362" s="19" t="n"/>
      <c r="G362" s="17">
        <f>IF(A362="","",TEXT(A362,"yyyy-mm"))</f>
        <v/>
      </c>
    </row>
    <row r="363">
      <c r="A363" s="22" t="n"/>
      <c r="B363" s="19" t="n"/>
      <c r="C363" s="19" t="n"/>
      <c r="D363" s="17">
        <f>IF(C363="","",IF(C363&gt;='Quy dinh'!$B$5,"Đạt","Chưa đủ"))</f>
        <v/>
      </c>
      <c r="E363" s="7">
        <f>IF(C363="","",IF(AND(B363&lt;&gt;"",C363&gt;='Quy dinh'!$B$5),'Quy dinh'!$B$6,0))</f>
        <v/>
      </c>
      <c r="F363" s="19" t="n"/>
      <c r="G363" s="17">
        <f>IF(A363="","",TEXT(A363,"yyyy-mm"))</f>
        <v/>
      </c>
    </row>
    <row r="364">
      <c r="A364" s="22" t="n"/>
      <c r="B364" s="19" t="n"/>
      <c r="C364" s="19" t="n"/>
      <c r="D364" s="17">
        <f>IF(C364="","",IF(C364&gt;='Quy dinh'!$B$5,"Đạt","Chưa đủ"))</f>
        <v/>
      </c>
      <c r="E364" s="7">
        <f>IF(C364="","",IF(AND(B364&lt;&gt;"",C364&gt;='Quy dinh'!$B$5),'Quy dinh'!$B$6,0))</f>
        <v/>
      </c>
      <c r="F364" s="19" t="n"/>
      <c r="G364" s="17">
        <f>IF(A364="","",TEXT(A364,"yyyy-mm"))</f>
        <v/>
      </c>
    </row>
    <row r="365">
      <c r="A365" s="22" t="n"/>
      <c r="B365" s="19" t="n"/>
      <c r="C365" s="19" t="n"/>
      <c r="D365" s="17">
        <f>IF(C365="","",IF(C365&gt;='Quy dinh'!$B$5,"Đạt","Chưa đủ"))</f>
        <v/>
      </c>
      <c r="E365" s="7">
        <f>IF(C365="","",IF(AND(B365&lt;&gt;"",C365&gt;='Quy dinh'!$B$5),'Quy dinh'!$B$6,0))</f>
        <v/>
      </c>
      <c r="F365" s="19" t="n"/>
      <c r="G365" s="17">
        <f>IF(A365="","",TEXT(A365,"yyyy-mm"))</f>
        <v/>
      </c>
    </row>
    <row r="366">
      <c r="A366" s="22" t="n"/>
      <c r="B366" s="19" t="n"/>
      <c r="C366" s="19" t="n"/>
      <c r="D366" s="17">
        <f>IF(C366="","",IF(C366&gt;='Quy dinh'!$B$5,"Đạt","Chưa đủ"))</f>
        <v/>
      </c>
      <c r="E366" s="7">
        <f>IF(C366="","",IF(AND(B366&lt;&gt;"",C366&gt;='Quy dinh'!$B$5),'Quy dinh'!$B$6,0))</f>
        <v/>
      </c>
      <c r="F366" s="19" t="n"/>
      <c r="G366" s="17">
        <f>IF(A366="","",TEXT(A366,"yyyy-mm"))</f>
        <v/>
      </c>
    </row>
    <row r="367">
      <c r="A367" s="22" t="n"/>
      <c r="B367" s="19" t="n"/>
      <c r="C367" s="19" t="n"/>
      <c r="D367" s="17">
        <f>IF(C367="","",IF(C367&gt;='Quy dinh'!$B$5,"Đạt","Chưa đủ"))</f>
        <v/>
      </c>
      <c r="E367" s="7">
        <f>IF(C367="","",IF(AND(B367&lt;&gt;"",C367&gt;='Quy dinh'!$B$5),'Quy dinh'!$B$6,0))</f>
        <v/>
      </c>
      <c r="F367" s="19" t="n"/>
      <c r="G367" s="17">
        <f>IF(A367="","",TEXT(A367,"yyyy-mm"))</f>
        <v/>
      </c>
    </row>
    <row r="368">
      <c r="A368" s="22" t="n"/>
      <c r="B368" s="19" t="n"/>
      <c r="C368" s="19" t="n"/>
      <c r="D368" s="17">
        <f>IF(C368="","",IF(C368&gt;='Quy dinh'!$B$5,"Đạt","Chưa đủ"))</f>
        <v/>
      </c>
      <c r="E368" s="7">
        <f>IF(C368="","",IF(AND(B368&lt;&gt;"",C368&gt;='Quy dinh'!$B$5),'Quy dinh'!$B$6,0))</f>
        <v/>
      </c>
      <c r="F368" s="19" t="n"/>
      <c r="G368" s="17">
        <f>IF(A368="","",TEXT(A368,"yyyy-mm"))</f>
        <v/>
      </c>
    </row>
    <row r="369">
      <c r="A369" s="22" t="n"/>
      <c r="B369" s="19" t="n"/>
      <c r="C369" s="19" t="n"/>
      <c r="D369" s="17">
        <f>IF(C369="","",IF(C369&gt;='Quy dinh'!$B$5,"Đạt","Chưa đủ"))</f>
        <v/>
      </c>
      <c r="E369" s="7">
        <f>IF(C369="","",IF(AND(B369&lt;&gt;"",C369&gt;='Quy dinh'!$B$5),'Quy dinh'!$B$6,0))</f>
        <v/>
      </c>
      <c r="F369" s="19" t="n"/>
      <c r="G369" s="17">
        <f>IF(A369="","",TEXT(A369,"yyyy-mm"))</f>
        <v/>
      </c>
    </row>
    <row r="370">
      <c r="A370" s="22" t="n"/>
      <c r="B370" s="19" t="n"/>
      <c r="C370" s="19" t="n"/>
      <c r="D370" s="17">
        <f>IF(C370="","",IF(C370&gt;='Quy dinh'!$B$5,"Đạt","Chưa đủ"))</f>
        <v/>
      </c>
      <c r="E370" s="7">
        <f>IF(C370="","",IF(AND(B370&lt;&gt;"",C370&gt;='Quy dinh'!$B$5),'Quy dinh'!$B$6,0))</f>
        <v/>
      </c>
      <c r="F370" s="19" t="n"/>
      <c r="G370" s="17">
        <f>IF(A370="","",TEXT(A370,"yyyy-mm"))</f>
        <v/>
      </c>
    </row>
    <row r="371">
      <c r="A371" s="22" t="n"/>
      <c r="B371" s="19" t="n"/>
      <c r="C371" s="19" t="n"/>
      <c r="D371" s="17">
        <f>IF(C371="","",IF(C371&gt;='Quy dinh'!$B$5,"Đạt","Chưa đủ"))</f>
        <v/>
      </c>
      <c r="E371" s="7">
        <f>IF(C371="","",IF(AND(B371&lt;&gt;"",C371&gt;='Quy dinh'!$B$5),'Quy dinh'!$B$6,0))</f>
        <v/>
      </c>
      <c r="F371" s="19" t="n"/>
      <c r="G371" s="17">
        <f>IF(A371="","",TEXT(A371,"yyyy-mm"))</f>
        <v/>
      </c>
    </row>
    <row r="372">
      <c r="A372" s="22" t="n"/>
      <c r="B372" s="19" t="n"/>
      <c r="C372" s="19" t="n"/>
      <c r="D372" s="17">
        <f>IF(C372="","",IF(C372&gt;='Quy dinh'!$B$5,"Đạt","Chưa đủ"))</f>
        <v/>
      </c>
      <c r="E372" s="7">
        <f>IF(C372="","",IF(AND(B372&lt;&gt;"",C372&gt;='Quy dinh'!$B$5),'Quy dinh'!$B$6,0))</f>
        <v/>
      </c>
      <c r="F372" s="19" t="n"/>
      <c r="G372" s="17">
        <f>IF(A372="","",TEXT(A372,"yyyy-mm"))</f>
        <v/>
      </c>
    </row>
    <row r="373">
      <c r="A373" s="22" t="n"/>
      <c r="B373" s="19" t="n"/>
      <c r="C373" s="19" t="n"/>
      <c r="D373" s="17">
        <f>IF(C373="","",IF(C373&gt;='Quy dinh'!$B$5,"Đạt","Chưa đủ"))</f>
        <v/>
      </c>
      <c r="E373" s="7">
        <f>IF(C373="","",IF(AND(B373&lt;&gt;"",C373&gt;='Quy dinh'!$B$5),'Quy dinh'!$B$6,0))</f>
        <v/>
      </c>
      <c r="F373" s="19" t="n"/>
      <c r="G373" s="17">
        <f>IF(A373="","",TEXT(A373,"yyyy-mm"))</f>
        <v/>
      </c>
    </row>
    <row r="374">
      <c r="A374" s="22" t="n"/>
      <c r="B374" s="19" t="n"/>
      <c r="C374" s="19" t="n"/>
      <c r="D374" s="17">
        <f>IF(C374="","",IF(C374&gt;='Quy dinh'!$B$5,"Đạt","Chưa đủ"))</f>
        <v/>
      </c>
      <c r="E374" s="7">
        <f>IF(C374="","",IF(AND(B374&lt;&gt;"",C374&gt;='Quy dinh'!$B$5),'Quy dinh'!$B$6,0))</f>
        <v/>
      </c>
      <c r="F374" s="19" t="n"/>
      <c r="G374" s="17">
        <f>IF(A374="","",TEXT(A374,"yyyy-mm"))</f>
        <v/>
      </c>
    </row>
    <row r="375">
      <c r="A375" s="22" t="n"/>
      <c r="B375" s="19" t="n"/>
      <c r="C375" s="19" t="n"/>
      <c r="D375" s="17">
        <f>IF(C375="","",IF(C375&gt;='Quy dinh'!$B$5,"Đạt","Chưa đủ"))</f>
        <v/>
      </c>
      <c r="E375" s="7">
        <f>IF(C375="","",IF(AND(B375&lt;&gt;"",C375&gt;='Quy dinh'!$B$5),'Quy dinh'!$B$6,0))</f>
        <v/>
      </c>
      <c r="F375" s="19" t="n"/>
      <c r="G375" s="17">
        <f>IF(A375="","",TEXT(A375,"yyyy-mm"))</f>
        <v/>
      </c>
    </row>
    <row r="376">
      <c r="A376" s="22" t="n"/>
      <c r="B376" s="19" t="n"/>
      <c r="C376" s="19" t="n"/>
      <c r="D376" s="17">
        <f>IF(C376="","",IF(C376&gt;='Quy dinh'!$B$5,"Đạt","Chưa đủ"))</f>
        <v/>
      </c>
      <c r="E376" s="7">
        <f>IF(C376="","",IF(AND(B376&lt;&gt;"",C376&gt;='Quy dinh'!$B$5),'Quy dinh'!$B$6,0))</f>
        <v/>
      </c>
      <c r="F376" s="19" t="n"/>
      <c r="G376" s="17">
        <f>IF(A376="","",TEXT(A376,"yyyy-mm"))</f>
        <v/>
      </c>
    </row>
    <row r="377">
      <c r="A377" s="22" t="n"/>
      <c r="B377" s="19" t="n"/>
      <c r="C377" s="19" t="n"/>
      <c r="D377" s="17">
        <f>IF(C377="","",IF(C377&gt;='Quy dinh'!$B$5,"Đạt","Chưa đủ"))</f>
        <v/>
      </c>
      <c r="E377" s="7">
        <f>IF(C377="","",IF(AND(B377&lt;&gt;"",C377&gt;='Quy dinh'!$B$5),'Quy dinh'!$B$6,0))</f>
        <v/>
      </c>
      <c r="F377" s="19" t="n"/>
      <c r="G377" s="17">
        <f>IF(A377="","",TEXT(A377,"yyyy-mm"))</f>
        <v/>
      </c>
    </row>
    <row r="378">
      <c r="A378" s="22" t="n"/>
      <c r="B378" s="19" t="n"/>
      <c r="C378" s="19" t="n"/>
      <c r="D378" s="17">
        <f>IF(C378="","",IF(C378&gt;='Quy dinh'!$B$5,"Đạt","Chưa đủ"))</f>
        <v/>
      </c>
      <c r="E378" s="7">
        <f>IF(C378="","",IF(AND(B378&lt;&gt;"",C378&gt;='Quy dinh'!$B$5),'Quy dinh'!$B$6,0))</f>
        <v/>
      </c>
      <c r="F378" s="19" t="n"/>
      <c r="G378" s="17">
        <f>IF(A378="","",TEXT(A378,"yyyy-mm"))</f>
        <v/>
      </c>
    </row>
    <row r="379">
      <c r="A379" s="22" t="n"/>
      <c r="B379" s="19" t="n"/>
      <c r="C379" s="19" t="n"/>
      <c r="D379" s="17">
        <f>IF(C379="","",IF(C379&gt;='Quy dinh'!$B$5,"Đạt","Chưa đủ"))</f>
        <v/>
      </c>
      <c r="E379" s="7">
        <f>IF(C379="","",IF(AND(B379&lt;&gt;"",C379&gt;='Quy dinh'!$B$5),'Quy dinh'!$B$6,0))</f>
        <v/>
      </c>
      <c r="F379" s="19" t="n"/>
      <c r="G379" s="17">
        <f>IF(A379="","",TEXT(A379,"yyyy-mm"))</f>
        <v/>
      </c>
    </row>
    <row r="380">
      <c r="A380" s="22" t="n"/>
      <c r="B380" s="19" t="n"/>
      <c r="C380" s="19" t="n"/>
      <c r="D380" s="17">
        <f>IF(C380="","",IF(C380&gt;='Quy dinh'!$B$5,"Đạt","Chưa đủ"))</f>
        <v/>
      </c>
      <c r="E380" s="7">
        <f>IF(C380="","",IF(AND(B380&lt;&gt;"",C380&gt;='Quy dinh'!$B$5),'Quy dinh'!$B$6,0))</f>
        <v/>
      </c>
      <c r="F380" s="19" t="n"/>
      <c r="G380" s="17">
        <f>IF(A380="","",TEXT(A380,"yyyy-mm"))</f>
        <v/>
      </c>
    </row>
    <row r="381">
      <c r="A381" s="22" t="n"/>
      <c r="B381" s="19" t="n"/>
      <c r="C381" s="19" t="n"/>
      <c r="D381" s="17">
        <f>IF(C381="","",IF(C381&gt;='Quy dinh'!$B$5,"Đạt","Chưa đủ"))</f>
        <v/>
      </c>
      <c r="E381" s="7">
        <f>IF(C381="","",IF(AND(B381&lt;&gt;"",C381&gt;='Quy dinh'!$B$5),'Quy dinh'!$B$6,0))</f>
        <v/>
      </c>
      <c r="F381" s="19" t="n"/>
      <c r="G381" s="17">
        <f>IF(A381="","",TEXT(A381,"yyyy-mm"))</f>
        <v/>
      </c>
    </row>
    <row r="382">
      <c r="A382" s="22" t="n"/>
      <c r="B382" s="19" t="n"/>
      <c r="C382" s="19" t="n"/>
      <c r="D382" s="17">
        <f>IF(C382="","",IF(C382&gt;='Quy dinh'!$B$5,"Đạt","Chưa đủ"))</f>
        <v/>
      </c>
      <c r="E382" s="7">
        <f>IF(C382="","",IF(AND(B382&lt;&gt;"",C382&gt;='Quy dinh'!$B$5),'Quy dinh'!$B$6,0))</f>
        <v/>
      </c>
      <c r="F382" s="19" t="n"/>
      <c r="G382" s="17">
        <f>IF(A382="","",TEXT(A382,"yyyy-mm"))</f>
        <v/>
      </c>
    </row>
    <row r="383">
      <c r="A383" s="22" t="n"/>
      <c r="B383" s="19" t="n"/>
      <c r="C383" s="19" t="n"/>
      <c r="D383" s="17">
        <f>IF(C383="","",IF(C383&gt;='Quy dinh'!$B$5,"Đạt","Chưa đủ"))</f>
        <v/>
      </c>
      <c r="E383" s="7">
        <f>IF(C383="","",IF(AND(B383&lt;&gt;"",C383&gt;='Quy dinh'!$B$5),'Quy dinh'!$B$6,0))</f>
        <v/>
      </c>
      <c r="F383" s="19" t="n"/>
      <c r="G383" s="17">
        <f>IF(A383="","",TEXT(A383,"yyyy-mm"))</f>
        <v/>
      </c>
    </row>
    <row r="384">
      <c r="A384" s="22" t="n"/>
      <c r="B384" s="19" t="n"/>
      <c r="C384" s="19" t="n"/>
      <c r="D384" s="17">
        <f>IF(C384="","",IF(C384&gt;='Quy dinh'!$B$5,"Đạt","Chưa đủ"))</f>
        <v/>
      </c>
      <c r="E384" s="7">
        <f>IF(C384="","",IF(AND(B384&lt;&gt;"",C384&gt;='Quy dinh'!$B$5),'Quy dinh'!$B$6,0))</f>
        <v/>
      </c>
      <c r="F384" s="19" t="n"/>
      <c r="G384" s="17">
        <f>IF(A384="","",TEXT(A384,"yyyy-mm"))</f>
        <v/>
      </c>
    </row>
    <row r="385">
      <c r="A385" s="22" t="n"/>
      <c r="B385" s="19" t="n"/>
      <c r="C385" s="19" t="n"/>
      <c r="D385" s="17">
        <f>IF(C385="","",IF(C385&gt;='Quy dinh'!$B$5,"Đạt","Chưa đủ"))</f>
        <v/>
      </c>
      <c r="E385" s="7">
        <f>IF(C385="","",IF(AND(B385&lt;&gt;"",C385&gt;='Quy dinh'!$B$5),'Quy dinh'!$B$6,0))</f>
        <v/>
      </c>
      <c r="F385" s="19" t="n"/>
      <c r="G385" s="17">
        <f>IF(A385="","",TEXT(A385,"yyyy-mm"))</f>
        <v/>
      </c>
    </row>
    <row r="386">
      <c r="A386" s="22" t="n"/>
      <c r="B386" s="19" t="n"/>
      <c r="C386" s="19" t="n"/>
      <c r="D386" s="17">
        <f>IF(C386="","",IF(C386&gt;='Quy dinh'!$B$5,"Đạt","Chưa đủ"))</f>
        <v/>
      </c>
      <c r="E386" s="7">
        <f>IF(C386="","",IF(AND(B386&lt;&gt;"",C386&gt;='Quy dinh'!$B$5),'Quy dinh'!$B$6,0))</f>
        <v/>
      </c>
      <c r="F386" s="19" t="n"/>
      <c r="G386" s="17">
        <f>IF(A386="","",TEXT(A386,"yyyy-mm"))</f>
        <v/>
      </c>
    </row>
    <row r="387">
      <c r="A387" s="22" t="n"/>
      <c r="B387" s="19" t="n"/>
      <c r="C387" s="19" t="n"/>
      <c r="D387" s="17">
        <f>IF(C387="","",IF(C387&gt;='Quy dinh'!$B$5,"Đạt","Chưa đủ"))</f>
        <v/>
      </c>
      <c r="E387" s="7">
        <f>IF(C387="","",IF(AND(B387&lt;&gt;"",C387&gt;='Quy dinh'!$B$5),'Quy dinh'!$B$6,0))</f>
        <v/>
      </c>
      <c r="F387" s="19" t="n"/>
      <c r="G387" s="17">
        <f>IF(A387="","",TEXT(A387,"yyyy-mm"))</f>
        <v/>
      </c>
    </row>
    <row r="388">
      <c r="A388" s="22" t="n"/>
      <c r="B388" s="19" t="n"/>
      <c r="C388" s="19" t="n"/>
      <c r="D388" s="17">
        <f>IF(C388="","",IF(C388&gt;='Quy dinh'!$B$5,"Đạt","Chưa đủ"))</f>
        <v/>
      </c>
      <c r="E388" s="7">
        <f>IF(C388="","",IF(AND(B388&lt;&gt;"",C388&gt;='Quy dinh'!$B$5),'Quy dinh'!$B$6,0))</f>
        <v/>
      </c>
      <c r="F388" s="19" t="n"/>
      <c r="G388" s="17">
        <f>IF(A388="","",TEXT(A388,"yyyy-mm"))</f>
        <v/>
      </c>
    </row>
    <row r="389">
      <c r="A389" s="22" t="n"/>
      <c r="B389" s="19" t="n"/>
      <c r="C389" s="19" t="n"/>
      <c r="D389" s="17">
        <f>IF(C389="","",IF(C389&gt;='Quy dinh'!$B$5,"Đạt","Chưa đủ"))</f>
        <v/>
      </c>
      <c r="E389" s="7">
        <f>IF(C389="","",IF(AND(B389&lt;&gt;"",C389&gt;='Quy dinh'!$B$5),'Quy dinh'!$B$6,0))</f>
        <v/>
      </c>
      <c r="F389" s="19" t="n"/>
      <c r="G389" s="17">
        <f>IF(A389="","",TEXT(A389,"yyyy-mm"))</f>
        <v/>
      </c>
    </row>
    <row r="390">
      <c r="A390" s="22" t="n"/>
      <c r="B390" s="19" t="n"/>
      <c r="C390" s="19" t="n"/>
      <c r="D390" s="17">
        <f>IF(C390="","",IF(C390&gt;='Quy dinh'!$B$5,"Đạt","Chưa đủ"))</f>
        <v/>
      </c>
      <c r="E390" s="7">
        <f>IF(C390="","",IF(AND(B390&lt;&gt;"",C390&gt;='Quy dinh'!$B$5),'Quy dinh'!$B$6,0))</f>
        <v/>
      </c>
      <c r="F390" s="19" t="n"/>
      <c r="G390" s="17">
        <f>IF(A390="","",TEXT(A390,"yyyy-mm"))</f>
        <v/>
      </c>
    </row>
    <row r="391">
      <c r="A391" s="22" t="n"/>
      <c r="B391" s="19" t="n"/>
      <c r="C391" s="19" t="n"/>
      <c r="D391" s="17">
        <f>IF(C391="","",IF(C391&gt;='Quy dinh'!$B$5,"Đạt","Chưa đủ"))</f>
        <v/>
      </c>
      <c r="E391" s="7">
        <f>IF(C391="","",IF(AND(B391&lt;&gt;"",C391&gt;='Quy dinh'!$B$5),'Quy dinh'!$B$6,0))</f>
        <v/>
      </c>
      <c r="F391" s="19" t="n"/>
      <c r="G391" s="17">
        <f>IF(A391="","",TEXT(A391,"yyyy-mm"))</f>
        <v/>
      </c>
    </row>
    <row r="392">
      <c r="A392" s="22" t="n"/>
      <c r="B392" s="19" t="n"/>
      <c r="C392" s="19" t="n"/>
      <c r="D392" s="17">
        <f>IF(C392="","",IF(C392&gt;='Quy dinh'!$B$5,"Đạt","Chưa đủ"))</f>
        <v/>
      </c>
      <c r="E392" s="7">
        <f>IF(C392="","",IF(AND(B392&lt;&gt;"",C392&gt;='Quy dinh'!$B$5),'Quy dinh'!$B$6,0))</f>
        <v/>
      </c>
      <c r="F392" s="19" t="n"/>
      <c r="G392" s="17">
        <f>IF(A392="","",TEXT(A392,"yyyy-mm"))</f>
        <v/>
      </c>
    </row>
    <row r="393">
      <c r="A393" s="22" t="n"/>
      <c r="B393" s="19" t="n"/>
      <c r="C393" s="19" t="n"/>
      <c r="D393" s="17">
        <f>IF(C393="","",IF(C393&gt;='Quy dinh'!$B$5,"Đạt","Chưa đủ"))</f>
        <v/>
      </c>
      <c r="E393" s="7">
        <f>IF(C393="","",IF(AND(B393&lt;&gt;"",C393&gt;='Quy dinh'!$B$5),'Quy dinh'!$B$6,0))</f>
        <v/>
      </c>
      <c r="F393" s="19" t="n"/>
      <c r="G393" s="17">
        <f>IF(A393="","",TEXT(A393,"yyyy-mm"))</f>
        <v/>
      </c>
    </row>
    <row r="394">
      <c r="A394" s="22" t="n"/>
      <c r="B394" s="19" t="n"/>
      <c r="C394" s="19" t="n"/>
      <c r="D394" s="17">
        <f>IF(C394="","",IF(C394&gt;='Quy dinh'!$B$5,"Đạt","Chưa đủ"))</f>
        <v/>
      </c>
      <c r="E394" s="7">
        <f>IF(C394="","",IF(AND(B394&lt;&gt;"",C394&gt;='Quy dinh'!$B$5),'Quy dinh'!$B$6,0))</f>
        <v/>
      </c>
      <c r="F394" s="19" t="n"/>
      <c r="G394" s="17">
        <f>IF(A394="","",TEXT(A394,"yyyy-mm"))</f>
        <v/>
      </c>
    </row>
    <row r="395">
      <c r="A395" s="22" t="n"/>
      <c r="B395" s="19" t="n"/>
      <c r="C395" s="19" t="n"/>
      <c r="D395" s="17">
        <f>IF(C395="","",IF(C395&gt;='Quy dinh'!$B$5,"Đạt","Chưa đủ"))</f>
        <v/>
      </c>
      <c r="E395" s="7">
        <f>IF(C395="","",IF(AND(B395&lt;&gt;"",C395&gt;='Quy dinh'!$B$5),'Quy dinh'!$B$6,0))</f>
        <v/>
      </c>
      <c r="F395" s="19" t="n"/>
      <c r="G395" s="17">
        <f>IF(A395="","",TEXT(A395,"yyyy-mm"))</f>
        <v/>
      </c>
    </row>
    <row r="396">
      <c r="A396" s="22" t="n"/>
      <c r="B396" s="19" t="n"/>
      <c r="C396" s="19" t="n"/>
      <c r="D396" s="17">
        <f>IF(C396="","",IF(C396&gt;='Quy dinh'!$B$5,"Đạt","Chưa đủ"))</f>
        <v/>
      </c>
      <c r="E396" s="7">
        <f>IF(C396="","",IF(AND(B396&lt;&gt;"",C396&gt;='Quy dinh'!$B$5),'Quy dinh'!$B$6,0))</f>
        <v/>
      </c>
      <c r="F396" s="19" t="n"/>
      <c r="G396" s="17">
        <f>IF(A396="","",TEXT(A396,"yyyy-mm"))</f>
        <v/>
      </c>
    </row>
    <row r="397">
      <c r="A397" s="22" t="n"/>
      <c r="B397" s="19" t="n"/>
      <c r="C397" s="19" t="n"/>
      <c r="D397" s="17">
        <f>IF(C397="","",IF(C397&gt;='Quy dinh'!$B$5,"Đạt","Chưa đủ"))</f>
        <v/>
      </c>
      <c r="E397" s="7">
        <f>IF(C397="","",IF(AND(B397&lt;&gt;"",C397&gt;='Quy dinh'!$B$5),'Quy dinh'!$B$6,0))</f>
        <v/>
      </c>
      <c r="F397" s="19" t="n"/>
      <c r="G397" s="17">
        <f>IF(A397="","",TEXT(A397,"yyyy-mm"))</f>
        <v/>
      </c>
    </row>
    <row r="398">
      <c r="A398" s="22" t="n"/>
      <c r="B398" s="19" t="n"/>
      <c r="C398" s="19" t="n"/>
      <c r="D398" s="17">
        <f>IF(C398="","",IF(C398&gt;='Quy dinh'!$B$5,"Đạt","Chưa đủ"))</f>
        <v/>
      </c>
      <c r="E398" s="7">
        <f>IF(C398="","",IF(AND(B398&lt;&gt;"",C398&gt;='Quy dinh'!$B$5),'Quy dinh'!$B$6,0))</f>
        <v/>
      </c>
      <c r="F398" s="19" t="n"/>
      <c r="G398" s="17">
        <f>IF(A398="","",TEXT(A398,"yyyy-mm"))</f>
        <v/>
      </c>
    </row>
    <row r="399">
      <c r="A399" s="22" t="n"/>
      <c r="B399" s="19" t="n"/>
      <c r="C399" s="19" t="n"/>
      <c r="D399" s="17">
        <f>IF(C399="","",IF(C399&gt;='Quy dinh'!$B$5,"Đạt","Chưa đủ"))</f>
        <v/>
      </c>
      <c r="E399" s="7">
        <f>IF(C399="","",IF(AND(B399&lt;&gt;"",C399&gt;='Quy dinh'!$B$5),'Quy dinh'!$B$6,0))</f>
        <v/>
      </c>
      <c r="F399" s="19" t="n"/>
      <c r="G399" s="17">
        <f>IF(A399="","",TEXT(A399,"yyyy-mm"))</f>
        <v/>
      </c>
    </row>
    <row r="400">
      <c r="A400" s="22" t="n"/>
      <c r="B400" s="19" t="n"/>
      <c r="C400" s="19" t="n"/>
      <c r="D400" s="17">
        <f>IF(C400="","",IF(C400&gt;='Quy dinh'!$B$5,"Đạt","Chưa đủ"))</f>
        <v/>
      </c>
      <c r="E400" s="7">
        <f>IF(C400="","",IF(AND(B400&lt;&gt;"",C400&gt;='Quy dinh'!$B$5),'Quy dinh'!$B$6,0))</f>
        <v/>
      </c>
      <c r="F400" s="19" t="n"/>
      <c r="G400" s="17">
        <f>IF(A400="","",TEXT(A400,"yyyy-mm"))</f>
        <v/>
      </c>
    </row>
    <row r="401">
      <c r="A401" s="22" t="n"/>
      <c r="B401" s="19" t="n"/>
      <c r="C401" s="19" t="n"/>
      <c r="D401" s="17">
        <f>IF(C401="","",IF(C401&gt;='Quy dinh'!$B$5,"Đạt","Chưa đủ"))</f>
        <v/>
      </c>
      <c r="E401" s="7">
        <f>IF(C401="","",IF(AND(B401&lt;&gt;"",C401&gt;='Quy dinh'!$B$5),'Quy dinh'!$B$6,0))</f>
        <v/>
      </c>
      <c r="F401" s="19" t="n"/>
      <c r="G401" s="17">
        <f>IF(A401="","",TEXT(A401,"yyyy-mm"))</f>
        <v/>
      </c>
    </row>
    <row r="402">
      <c r="A402" s="22" t="n"/>
      <c r="B402" s="19" t="n"/>
      <c r="C402" s="19" t="n"/>
      <c r="D402" s="17">
        <f>IF(C402="","",IF(C402&gt;='Quy dinh'!$B$5,"Đạt","Chưa đủ"))</f>
        <v/>
      </c>
      <c r="E402" s="7">
        <f>IF(C402="","",IF(AND(B402&lt;&gt;"",C402&gt;='Quy dinh'!$B$5),'Quy dinh'!$B$6,0))</f>
        <v/>
      </c>
      <c r="F402" s="19" t="n"/>
      <c r="G402" s="17">
        <f>IF(A402="","",TEXT(A402,"yyyy-mm"))</f>
        <v/>
      </c>
    </row>
    <row r="403">
      <c r="A403" s="22" t="n"/>
      <c r="B403" s="19" t="n"/>
      <c r="C403" s="19" t="n"/>
      <c r="D403" s="17">
        <f>IF(C403="","",IF(C403&gt;='Quy dinh'!$B$5,"Đạt","Chưa đủ"))</f>
        <v/>
      </c>
      <c r="E403" s="7">
        <f>IF(C403="","",IF(AND(B403&lt;&gt;"",C403&gt;='Quy dinh'!$B$5),'Quy dinh'!$B$6,0))</f>
        <v/>
      </c>
      <c r="F403" s="19" t="n"/>
      <c r="G403" s="17">
        <f>IF(A403="","",TEXT(A403,"yyyy-mm"))</f>
        <v/>
      </c>
    </row>
    <row r="404">
      <c r="A404" s="22" t="n"/>
      <c r="B404" s="19" t="n"/>
      <c r="C404" s="19" t="n"/>
      <c r="D404" s="17">
        <f>IF(C404="","",IF(C404&gt;='Quy dinh'!$B$5,"Đạt","Chưa đủ"))</f>
        <v/>
      </c>
      <c r="E404" s="7">
        <f>IF(C404="","",IF(AND(B404&lt;&gt;"",C404&gt;='Quy dinh'!$B$5),'Quy dinh'!$B$6,0))</f>
        <v/>
      </c>
      <c r="F404" s="19" t="n"/>
      <c r="G404" s="17">
        <f>IF(A404="","",TEXT(A404,"yyyy-mm"))</f>
        <v/>
      </c>
    </row>
  </sheetData>
  <dataValidations count="1">
    <dataValidation sqref="B5:B404" showDropDown="0" showInputMessage="0" showErrorMessage="0" allowBlank="1" type="list">
      <formula1>='Danh sach sale'!$A$5:$A$44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30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6" customWidth="1" min="11" max="11"/>
  </cols>
  <sheetData>
    <row r="1">
      <c r="A1" s="1" t="inlineStr">
        <is>
          <t>THƯỞNG TỶ LỆ CHỐT CAO NHẤT — TUẦN &amp; THÁNG</t>
        </is>
      </c>
    </row>
    <row r="2">
      <c r="A2" s="2" t="inlineStr">
        <is>
          <t>Mỗi kỳ liệt kê các sale: tương tác + đơn Base → tỷ lệ chốt tự tính. Nhập "TB tương tác đội" của kỳ; ai đủ điều kiện và đứng đầu thì gõ "x" ở cột "Top" để ra tiền thưởng.</t>
        </is>
      </c>
    </row>
    <row r="4" ht="30" customHeight="1">
      <c r="A4" s="5" t="inlineStr">
        <is>
          <t>Loại kỳ (Tuần/Tháng)</t>
        </is>
      </c>
      <c r="B4" s="5" t="inlineStr">
        <is>
          <t>Kỳ (vd 12/10-18/10)</t>
        </is>
      </c>
      <c r="C4" s="5" t="inlineStr">
        <is>
          <t>Tháng (yyyy-mm)</t>
        </is>
      </c>
      <c r="D4" s="5" t="inlineStr">
        <is>
          <t>Sale</t>
        </is>
      </c>
      <c r="E4" s="5" t="inlineStr">
        <is>
          <t>Tương tác (tin nhắn)</t>
        </is>
      </c>
      <c r="F4" s="5" t="inlineStr">
        <is>
          <t>Đơn Base</t>
        </is>
      </c>
      <c r="G4" s="5" t="inlineStr">
        <is>
          <t>Tỷ lệ chốt</t>
        </is>
      </c>
      <c r="H4" s="5" t="inlineStr">
        <is>
          <t>TB tương tác đội</t>
        </is>
      </c>
      <c r="I4" s="5" t="inlineStr">
        <is>
          <t>Đủ điều kiện?</t>
        </is>
      </c>
      <c r="J4" s="5" t="inlineStr">
        <is>
          <t>Top? (gõ x)</t>
        </is>
      </c>
      <c r="K4" s="5" t="inlineStr">
        <is>
          <t>Tiền thưởng (đ)</t>
        </is>
      </c>
    </row>
    <row r="5">
      <c r="A5" s="21" t="inlineStr">
        <is>
          <t>Tuần</t>
        </is>
      </c>
      <c r="B5" s="21" t="inlineStr">
        <is>
          <t>12/10-18/10</t>
        </is>
      </c>
      <c r="C5" s="21" t="inlineStr">
        <is>
          <t>2026-10</t>
        </is>
      </c>
      <c r="D5" s="21" t="inlineStr">
        <is>
          <t>Sale A (ví dụ — thay bằng tên thật)</t>
        </is>
      </c>
      <c r="E5" s="21" t="n">
        <v>200</v>
      </c>
      <c r="F5" s="21" t="n">
        <v>30</v>
      </c>
      <c r="G5" s="23">
        <f>IF(OR(E5="",F5=""),"",IF(E5=0,0,F5/E5))</f>
        <v/>
      </c>
      <c r="H5" s="21" t="n">
        <v>113</v>
      </c>
      <c r="I5" s="17">
        <f>IF(OR(E5="",H5=""),"",IF(E5&gt;=H5,"Đủ","Không đủ"))</f>
        <v/>
      </c>
      <c r="J5" s="21" t="inlineStr">
        <is>
          <t>x</t>
        </is>
      </c>
      <c r="K5" s="7">
        <f>IF(J5="","",IF(AND(LOWER(J5)="x",I5="Đủ"),IF(A5="Tháng",'Quy dinh'!$B$8,IF(A5="Tuần",'Quy dinh'!$B$7,0)),0))</f>
        <v/>
      </c>
      <c r="L5" s="24" t="inlineStr">
        <is>
          <t>← VÍ DỤ: xoá dòng này khi bắt đầu nhập thật</t>
        </is>
      </c>
    </row>
    <row r="6">
      <c r="A6" s="19" t="n"/>
      <c r="B6" s="19" t="n"/>
      <c r="C6" s="19" t="n"/>
      <c r="D6" s="19" t="n"/>
      <c r="E6" s="19" t="n"/>
      <c r="F6" s="19" t="n"/>
      <c r="G6" s="23">
        <f>IF(OR(E6="",F6=""),"",IF(E6=0,0,F6/E6))</f>
        <v/>
      </c>
      <c r="H6" s="19" t="n"/>
      <c r="I6" s="17">
        <f>IF(OR(E6="",H6=""),"",IF(E6&gt;=H6,"Đủ","Không đủ"))</f>
        <v/>
      </c>
      <c r="J6" s="19" t="n"/>
      <c r="K6" s="7">
        <f>IF(J6="","",IF(AND(LOWER(J6)="x",I6="Đủ"),IF(A6="Tháng",'Quy dinh'!$B$8,IF(A6="Tuần",'Quy dinh'!$B$7,0)),0))</f>
        <v/>
      </c>
    </row>
    <row r="7">
      <c r="A7" s="19" t="n"/>
      <c r="B7" s="19" t="n"/>
      <c r="C7" s="19" t="n"/>
      <c r="D7" s="19" t="n"/>
      <c r="E7" s="19" t="n"/>
      <c r="F7" s="19" t="n"/>
      <c r="G7" s="23">
        <f>IF(OR(E7="",F7=""),"",IF(E7=0,0,F7/E7))</f>
        <v/>
      </c>
      <c r="H7" s="19" t="n"/>
      <c r="I7" s="17">
        <f>IF(OR(E7="",H7=""),"",IF(E7&gt;=H7,"Đủ","Không đủ"))</f>
        <v/>
      </c>
      <c r="J7" s="19" t="n"/>
      <c r="K7" s="7">
        <f>IF(J7="","",IF(AND(LOWER(J7)="x",I7="Đủ"),IF(A7="Tháng",'Quy dinh'!$B$8,IF(A7="Tuần",'Quy dinh'!$B$7,0)),0))</f>
        <v/>
      </c>
    </row>
    <row r="8">
      <c r="A8" s="19" t="n"/>
      <c r="B8" s="19" t="n"/>
      <c r="C8" s="19" t="n"/>
      <c r="D8" s="19" t="n"/>
      <c r="E8" s="19" t="n"/>
      <c r="F8" s="19" t="n"/>
      <c r="G8" s="23">
        <f>IF(OR(E8="",F8=""),"",IF(E8=0,0,F8/E8))</f>
        <v/>
      </c>
      <c r="H8" s="19" t="n"/>
      <c r="I8" s="17">
        <f>IF(OR(E8="",H8=""),"",IF(E8&gt;=H8,"Đủ","Không đủ"))</f>
        <v/>
      </c>
      <c r="J8" s="19" t="n"/>
      <c r="K8" s="7">
        <f>IF(J8="","",IF(AND(LOWER(J8)="x",I8="Đủ"),IF(A8="Tháng",'Quy dinh'!$B$8,IF(A8="Tuần",'Quy dinh'!$B$7,0)),0))</f>
        <v/>
      </c>
    </row>
    <row r="9">
      <c r="A9" s="19" t="n"/>
      <c r="B9" s="19" t="n"/>
      <c r="C9" s="19" t="n"/>
      <c r="D9" s="19" t="n"/>
      <c r="E9" s="19" t="n"/>
      <c r="F9" s="19" t="n"/>
      <c r="G9" s="23">
        <f>IF(OR(E9="",F9=""),"",IF(E9=0,0,F9/E9))</f>
        <v/>
      </c>
      <c r="H9" s="19" t="n"/>
      <c r="I9" s="17">
        <f>IF(OR(E9="",H9=""),"",IF(E9&gt;=H9,"Đủ","Không đủ"))</f>
        <v/>
      </c>
      <c r="J9" s="19" t="n"/>
      <c r="K9" s="7">
        <f>IF(J9="","",IF(AND(LOWER(J9)="x",I9="Đủ"),IF(A9="Tháng",'Quy dinh'!$B$8,IF(A9="Tuần",'Quy dinh'!$B$7,0)),0))</f>
        <v/>
      </c>
    </row>
    <row r="10">
      <c r="A10" s="19" t="n"/>
      <c r="B10" s="19" t="n"/>
      <c r="C10" s="19" t="n"/>
      <c r="D10" s="19" t="n"/>
      <c r="E10" s="19" t="n"/>
      <c r="F10" s="19" t="n"/>
      <c r="G10" s="23">
        <f>IF(OR(E10="",F10=""),"",IF(E10=0,0,F10/E10))</f>
        <v/>
      </c>
      <c r="H10" s="19" t="n"/>
      <c r="I10" s="17">
        <f>IF(OR(E10="",H10=""),"",IF(E10&gt;=H10,"Đủ","Không đủ"))</f>
        <v/>
      </c>
      <c r="J10" s="19" t="n"/>
      <c r="K10" s="7">
        <f>IF(J10="","",IF(AND(LOWER(J10)="x",I10="Đủ"),IF(A10="Tháng",'Quy dinh'!$B$8,IF(A10="Tuần",'Quy dinh'!$B$7,0)),0))</f>
        <v/>
      </c>
    </row>
    <row r="11">
      <c r="A11" s="19" t="n"/>
      <c r="B11" s="19" t="n"/>
      <c r="C11" s="19" t="n"/>
      <c r="D11" s="19" t="n"/>
      <c r="E11" s="19" t="n"/>
      <c r="F11" s="19" t="n"/>
      <c r="G11" s="23">
        <f>IF(OR(E11="",F11=""),"",IF(E11=0,0,F11/E11))</f>
        <v/>
      </c>
      <c r="H11" s="19" t="n"/>
      <c r="I11" s="17">
        <f>IF(OR(E11="",H11=""),"",IF(E11&gt;=H11,"Đủ","Không đủ"))</f>
        <v/>
      </c>
      <c r="J11" s="19" t="n"/>
      <c r="K11" s="7">
        <f>IF(J11="","",IF(AND(LOWER(J11)="x",I11="Đủ"),IF(A11="Tháng",'Quy dinh'!$B$8,IF(A11="Tuần",'Quy dinh'!$B$7,0)),0))</f>
        <v/>
      </c>
    </row>
    <row r="12">
      <c r="A12" s="19" t="n"/>
      <c r="B12" s="19" t="n"/>
      <c r="C12" s="19" t="n"/>
      <c r="D12" s="19" t="n"/>
      <c r="E12" s="19" t="n"/>
      <c r="F12" s="19" t="n"/>
      <c r="G12" s="23">
        <f>IF(OR(E12="",F12=""),"",IF(E12=0,0,F12/E12))</f>
        <v/>
      </c>
      <c r="H12" s="19" t="n"/>
      <c r="I12" s="17">
        <f>IF(OR(E12="",H12=""),"",IF(E12&gt;=H12,"Đủ","Không đủ"))</f>
        <v/>
      </c>
      <c r="J12" s="19" t="n"/>
      <c r="K12" s="7">
        <f>IF(J12="","",IF(AND(LOWER(J12)="x",I12="Đủ"),IF(A12="Tháng",'Quy dinh'!$B$8,IF(A12="Tuần",'Quy dinh'!$B$7,0)),0))</f>
        <v/>
      </c>
    </row>
    <row r="13">
      <c r="A13" s="19" t="n"/>
      <c r="B13" s="19" t="n"/>
      <c r="C13" s="19" t="n"/>
      <c r="D13" s="19" t="n"/>
      <c r="E13" s="19" t="n"/>
      <c r="F13" s="19" t="n"/>
      <c r="G13" s="23">
        <f>IF(OR(E13="",F13=""),"",IF(E13=0,0,F13/E13))</f>
        <v/>
      </c>
      <c r="H13" s="19" t="n"/>
      <c r="I13" s="17">
        <f>IF(OR(E13="",H13=""),"",IF(E13&gt;=H13,"Đủ","Không đủ"))</f>
        <v/>
      </c>
      <c r="J13" s="19" t="n"/>
      <c r="K13" s="7">
        <f>IF(J13="","",IF(AND(LOWER(J13)="x",I13="Đủ"),IF(A13="Tháng",'Quy dinh'!$B$8,IF(A13="Tuần",'Quy dinh'!$B$7,0)),0))</f>
        <v/>
      </c>
    </row>
    <row r="14">
      <c r="A14" s="19" t="n"/>
      <c r="B14" s="19" t="n"/>
      <c r="C14" s="19" t="n"/>
      <c r="D14" s="19" t="n"/>
      <c r="E14" s="19" t="n"/>
      <c r="F14" s="19" t="n"/>
      <c r="G14" s="23">
        <f>IF(OR(E14="",F14=""),"",IF(E14=0,0,F14/E14))</f>
        <v/>
      </c>
      <c r="H14" s="19" t="n"/>
      <c r="I14" s="17">
        <f>IF(OR(E14="",H14=""),"",IF(E14&gt;=H14,"Đủ","Không đủ"))</f>
        <v/>
      </c>
      <c r="J14" s="19" t="n"/>
      <c r="K14" s="7">
        <f>IF(J14="","",IF(AND(LOWER(J14)="x",I14="Đủ"),IF(A14="Tháng",'Quy dinh'!$B$8,IF(A14="Tuần",'Quy dinh'!$B$7,0)),0))</f>
        <v/>
      </c>
    </row>
    <row r="15">
      <c r="A15" s="19" t="n"/>
      <c r="B15" s="19" t="n"/>
      <c r="C15" s="19" t="n"/>
      <c r="D15" s="19" t="n"/>
      <c r="E15" s="19" t="n"/>
      <c r="F15" s="19" t="n"/>
      <c r="G15" s="23">
        <f>IF(OR(E15="",F15=""),"",IF(E15=0,0,F15/E15))</f>
        <v/>
      </c>
      <c r="H15" s="19" t="n"/>
      <c r="I15" s="17">
        <f>IF(OR(E15="",H15=""),"",IF(E15&gt;=H15,"Đủ","Không đủ"))</f>
        <v/>
      </c>
      <c r="J15" s="19" t="n"/>
      <c r="K15" s="7">
        <f>IF(J15="","",IF(AND(LOWER(J15)="x",I15="Đủ"),IF(A15="Tháng",'Quy dinh'!$B$8,IF(A15="Tuần",'Quy dinh'!$B$7,0)),0))</f>
        <v/>
      </c>
    </row>
    <row r="16">
      <c r="A16" s="19" t="n"/>
      <c r="B16" s="19" t="n"/>
      <c r="C16" s="19" t="n"/>
      <c r="D16" s="19" t="n"/>
      <c r="E16" s="19" t="n"/>
      <c r="F16" s="19" t="n"/>
      <c r="G16" s="23">
        <f>IF(OR(E16="",F16=""),"",IF(E16=0,0,F16/E16))</f>
        <v/>
      </c>
      <c r="H16" s="19" t="n"/>
      <c r="I16" s="17">
        <f>IF(OR(E16="",H16=""),"",IF(E16&gt;=H16,"Đủ","Không đủ"))</f>
        <v/>
      </c>
      <c r="J16" s="19" t="n"/>
      <c r="K16" s="7">
        <f>IF(J16="","",IF(AND(LOWER(J16)="x",I16="Đủ"),IF(A16="Tháng",'Quy dinh'!$B$8,IF(A16="Tuần",'Quy dinh'!$B$7,0)),0))</f>
        <v/>
      </c>
    </row>
    <row r="17">
      <c r="A17" s="19" t="n"/>
      <c r="B17" s="19" t="n"/>
      <c r="C17" s="19" t="n"/>
      <c r="D17" s="19" t="n"/>
      <c r="E17" s="19" t="n"/>
      <c r="F17" s="19" t="n"/>
      <c r="G17" s="23">
        <f>IF(OR(E17="",F17=""),"",IF(E17=0,0,F17/E17))</f>
        <v/>
      </c>
      <c r="H17" s="19" t="n"/>
      <c r="I17" s="17">
        <f>IF(OR(E17="",H17=""),"",IF(E17&gt;=H17,"Đủ","Không đủ"))</f>
        <v/>
      </c>
      <c r="J17" s="19" t="n"/>
      <c r="K17" s="7">
        <f>IF(J17="","",IF(AND(LOWER(J17)="x",I17="Đủ"),IF(A17="Tháng",'Quy dinh'!$B$8,IF(A17="Tuần",'Quy dinh'!$B$7,0)),0))</f>
        <v/>
      </c>
    </row>
    <row r="18">
      <c r="A18" s="19" t="n"/>
      <c r="B18" s="19" t="n"/>
      <c r="C18" s="19" t="n"/>
      <c r="D18" s="19" t="n"/>
      <c r="E18" s="19" t="n"/>
      <c r="F18" s="19" t="n"/>
      <c r="G18" s="23">
        <f>IF(OR(E18="",F18=""),"",IF(E18=0,0,F18/E18))</f>
        <v/>
      </c>
      <c r="H18" s="19" t="n"/>
      <c r="I18" s="17">
        <f>IF(OR(E18="",H18=""),"",IF(E18&gt;=H18,"Đủ","Không đủ"))</f>
        <v/>
      </c>
      <c r="J18" s="19" t="n"/>
      <c r="K18" s="7">
        <f>IF(J18="","",IF(AND(LOWER(J18)="x",I18="Đủ"),IF(A18="Tháng",'Quy dinh'!$B$8,IF(A18="Tuần",'Quy dinh'!$B$7,0)),0))</f>
        <v/>
      </c>
    </row>
    <row r="19">
      <c r="A19" s="19" t="n"/>
      <c r="B19" s="19" t="n"/>
      <c r="C19" s="19" t="n"/>
      <c r="D19" s="19" t="n"/>
      <c r="E19" s="19" t="n"/>
      <c r="F19" s="19" t="n"/>
      <c r="G19" s="23">
        <f>IF(OR(E19="",F19=""),"",IF(E19=0,0,F19/E19))</f>
        <v/>
      </c>
      <c r="H19" s="19" t="n"/>
      <c r="I19" s="17">
        <f>IF(OR(E19="",H19=""),"",IF(E19&gt;=H19,"Đủ","Không đủ"))</f>
        <v/>
      </c>
      <c r="J19" s="19" t="n"/>
      <c r="K19" s="7">
        <f>IF(J19="","",IF(AND(LOWER(J19)="x",I19="Đủ"),IF(A19="Tháng",'Quy dinh'!$B$8,IF(A19="Tuần",'Quy dinh'!$B$7,0)),0))</f>
        <v/>
      </c>
    </row>
    <row r="20">
      <c r="A20" s="19" t="n"/>
      <c r="B20" s="19" t="n"/>
      <c r="C20" s="19" t="n"/>
      <c r="D20" s="19" t="n"/>
      <c r="E20" s="19" t="n"/>
      <c r="F20" s="19" t="n"/>
      <c r="G20" s="23">
        <f>IF(OR(E20="",F20=""),"",IF(E20=0,0,F20/E20))</f>
        <v/>
      </c>
      <c r="H20" s="19" t="n"/>
      <c r="I20" s="17">
        <f>IF(OR(E20="",H20=""),"",IF(E20&gt;=H20,"Đủ","Không đủ"))</f>
        <v/>
      </c>
      <c r="J20" s="19" t="n"/>
      <c r="K20" s="7">
        <f>IF(J20="","",IF(AND(LOWER(J20)="x",I20="Đủ"),IF(A20="Tháng",'Quy dinh'!$B$8,IF(A20="Tuần",'Quy dinh'!$B$7,0)),0))</f>
        <v/>
      </c>
    </row>
    <row r="21">
      <c r="A21" s="19" t="n"/>
      <c r="B21" s="19" t="n"/>
      <c r="C21" s="19" t="n"/>
      <c r="D21" s="19" t="n"/>
      <c r="E21" s="19" t="n"/>
      <c r="F21" s="19" t="n"/>
      <c r="G21" s="23">
        <f>IF(OR(E21="",F21=""),"",IF(E21=0,0,F21/E21))</f>
        <v/>
      </c>
      <c r="H21" s="19" t="n"/>
      <c r="I21" s="17">
        <f>IF(OR(E21="",H21=""),"",IF(E21&gt;=H21,"Đủ","Không đủ"))</f>
        <v/>
      </c>
      <c r="J21" s="19" t="n"/>
      <c r="K21" s="7">
        <f>IF(J21="","",IF(AND(LOWER(J21)="x",I21="Đủ"),IF(A21="Tháng",'Quy dinh'!$B$8,IF(A21="Tuần",'Quy dinh'!$B$7,0)),0))</f>
        <v/>
      </c>
    </row>
    <row r="22">
      <c r="A22" s="19" t="n"/>
      <c r="B22" s="19" t="n"/>
      <c r="C22" s="19" t="n"/>
      <c r="D22" s="19" t="n"/>
      <c r="E22" s="19" t="n"/>
      <c r="F22" s="19" t="n"/>
      <c r="G22" s="23">
        <f>IF(OR(E22="",F22=""),"",IF(E22=0,0,F22/E22))</f>
        <v/>
      </c>
      <c r="H22" s="19" t="n"/>
      <c r="I22" s="17">
        <f>IF(OR(E22="",H22=""),"",IF(E22&gt;=H22,"Đủ","Không đủ"))</f>
        <v/>
      </c>
      <c r="J22" s="19" t="n"/>
      <c r="K22" s="7">
        <f>IF(J22="","",IF(AND(LOWER(J22)="x",I22="Đủ"),IF(A22="Tháng",'Quy dinh'!$B$8,IF(A22="Tuần",'Quy dinh'!$B$7,0)),0))</f>
        <v/>
      </c>
    </row>
    <row r="23">
      <c r="A23" s="19" t="n"/>
      <c r="B23" s="19" t="n"/>
      <c r="C23" s="19" t="n"/>
      <c r="D23" s="19" t="n"/>
      <c r="E23" s="19" t="n"/>
      <c r="F23" s="19" t="n"/>
      <c r="G23" s="23">
        <f>IF(OR(E23="",F23=""),"",IF(E23=0,0,F23/E23))</f>
        <v/>
      </c>
      <c r="H23" s="19" t="n"/>
      <c r="I23" s="17">
        <f>IF(OR(E23="",H23=""),"",IF(E23&gt;=H23,"Đủ","Không đủ"))</f>
        <v/>
      </c>
      <c r="J23" s="19" t="n"/>
      <c r="K23" s="7">
        <f>IF(J23="","",IF(AND(LOWER(J23)="x",I23="Đủ"),IF(A23="Tháng",'Quy dinh'!$B$8,IF(A23="Tuần",'Quy dinh'!$B$7,0)),0))</f>
        <v/>
      </c>
    </row>
    <row r="24">
      <c r="A24" s="19" t="n"/>
      <c r="B24" s="19" t="n"/>
      <c r="C24" s="19" t="n"/>
      <c r="D24" s="19" t="n"/>
      <c r="E24" s="19" t="n"/>
      <c r="F24" s="19" t="n"/>
      <c r="G24" s="23">
        <f>IF(OR(E24="",F24=""),"",IF(E24=0,0,F24/E24))</f>
        <v/>
      </c>
      <c r="H24" s="19" t="n"/>
      <c r="I24" s="17">
        <f>IF(OR(E24="",H24=""),"",IF(E24&gt;=H24,"Đủ","Không đủ"))</f>
        <v/>
      </c>
      <c r="J24" s="19" t="n"/>
      <c r="K24" s="7">
        <f>IF(J24="","",IF(AND(LOWER(J24)="x",I24="Đủ"),IF(A24="Tháng",'Quy dinh'!$B$8,IF(A24="Tuần",'Quy dinh'!$B$7,0)),0))</f>
        <v/>
      </c>
    </row>
    <row r="25">
      <c r="A25" s="19" t="n"/>
      <c r="B25" s="19" t="n"/>
      <c r="C25" s="19" t="n"/>
      <c r="D25" s="19" t="n"/>
      <c r="E25" s="19" t="n"/>
      <c r="F25" s="19" t="n"/>
      <c r="G25" s="23">
        <f>IF(OR(E25="",F25=""),"",IF(E25=0,0,F25/E25))</f>
        <v/>
      </c>
      <c r="H25" s="19" t="n"/>
      <c r="I25" s="17">
        <f>IF(OR(E25="",H25=""),"",IF(E25&gt;=H25,"Đủ","Không đủ"))</f>
        <v/>
      </c>
      <c r="J25" s="19" t="n"/>
      <c r="K25" s="7">
        <f>IF(J25="","",IF(AND(LOWER(J25)="x",I25="Đủ"),IF(A25="Tháng",'Quy dinh'!$B$8,IF(A25="Tuần",'Quy dinh'!$B$7,0)),0))</f>
        <v/>
      </c>
    </row>
    <row r="26">
      <c r="A26" s="19" t="n"/>
      <c r="B26" s="19" t="n"/>
      <c r="C26" s="19" t="n"/>
      <c r="D26" s="19" t="n"/>
      <c r="E26" s="19" t="n"/>
      <c r="F26" s="19" t="n"/>
      <c r="G26" s="23">
        <f>IF(OR(E26="",F26=""),"",IF(E26=0,0,F26/E26))</f>
        <v/>
      </c>
      <c r="H26" s="19" t="n"/>
      <c r="I26" s="17">
        <f>IF(OR(E26="",H26=""),"",IF(E26&gt;=H26,"Đủ","Không đủ"))</f>
        <v/>
      </c>
      <c r="J26" s="19" t="n"/>
      <c r="K26" s="7">
        <f>IF(J26="","",IF(AND(LOWER(J26)="x",I26="Đủ"),IF(A26="Tháng",'Quy dinh'!$B$8,IF(A26="Tuần",'Quy dinh'!$B$7,0)),0))</f>
        <v/>
      </c>
    </row>
    <row r="27">
      <c r="A27" s="19" t="n"/>
      <c r="B27" s="19" t="n"/>
      <c r="C27" s="19" t="n"/>
      <c r="D27" s="19" t="n"/>
      <c r="E27" s="19" t="n"/>
      <c r="F27" s="19" t="n"/>
      <c r="G27" s="23">
        <f>IF(OR(E27="",F27=""),"",IF(E27=0,0,F27/E27))</f>
        <v/>
      </c>
      <c r="H27" s="19" t="n"/>
      <c r="I27" s="17">
        <f>IF(OR(E27="",H27=""),"",IF(E27&gt;=H27,"Đủ","Không đủ"))</f>
        <v/>
      </c>
      <c r="J27" s="19" t="n"/>
      <c r="K27" s="7">
        <f>IF(J27="","",IF(AND(LOWER(J27)="x",I27="Đủ"),IF(A27="Tháng",'Quy dinh'!$B$8,IF(A27="Tuần",'Quy dinh'!$B$7,0)),0))</f>
        <v/>
      </c>
    </row>
    <row r="28">
      <c r="A28" s="19" t="n"/>
      <c r="B28" s="19" t="n"/>
      <c r="C28" s="19" t="n"/>
      <c r="D28" s="19" t="n"/>
      <c r="E28" s="19" t="n"/>
      <c r="F28" s="19" t="n"/>
      <c r="G28" s="23">
        <f>IF(OR(E28="",F28=""),"",IF(E28=0,0,F28/E28))</f>
        <v/>
      </c>
      <c r="H28" s="19" t="n"/>
      <c r="I28" s="17">
        <f>IF(OR(E28="",H28=""),"",IF(E28&gt;=H28,"Đủ","Không đủ"))</f>
        <v/>
      </c>
      <c r="J28" s="19" t="n"/>
      <c r="K28" s="7">
        <f>IF(J28="","",IF(AND(LOWER(J28)="x",I28="Đủ"),IF(A28="Tháng",'Quy dinh'!$B$8,IF(A28="Tuần",'Quy dinh'!$B$7,0)),0))</f>
        <v/>
      </c>
    </row>
    <row r="29">
      <c r="A29" s="19" t="n"/>
      <c r="B29" s="19" t="n"/>
      <c r="C29" s="19" t="n"/>
      <c r="D29" s="19" t="n"/>
      <c r="E29" s="19" t="n"/>
      <c r="F29" s="19" t="n"/>
      <c r="G29" s="23">
        <f>IF(OR(E29="",F29=""),"",IF(E29=0,0,F29/E29))</f>
        <v/>
      </c>
      <c r="H29" s="19" t="n"/>
      <c r="I29" s="17">
        <f>IF(OR(E29="",H29=""),"",IF(E29&gt;=H29,"Đủ","Không đủ"))</f>
        <v/>
      </c>
      <c r="J29" s="19" t="n"/>
      <c r="K29" s="7">
        <f>IF(J29="","",IF(AND(LOWER(J29)="x",I29="Đủ"),IF(A29="Tháng",'Quy dinh'!$B$8,IF(A29="Tuần",'Quy dinh'!$B$7,0)),0))</f>
        <v/>
      </c>
    </row>
    <row r="30">
      <c r="A30" s="19" t="n"/>
      <c r="B30" s="19" t="n"/>
      <c r="C30" s="19" t="n"/>
      <c r="D30" s="19" t="n"/>
      <c r="E30" s="19" t="n"/>
      <c r="F30" s="19" t="n"/>
      <c r="G30" s="23">
        <f>IF(OR(E30="",F30=""),"",IF(E30=0,0,F30/E30))</f>
        <v/>
      </c>
      <c r="H30" s="19" t="n"/>
      <c r="I30" s="17">
        <f>IF(OR(E30="",H30=""),"",IF(E30&gt;=H30,"Đủ","Không đủ"))</f>
        <v/>
      </c>
      <c r="J30" s="19" t="n"/>
      <c r="K30" s="7">
        <f>IF(J30="","",IF(AND(LOWER(J30)="x",I30="Đủ"),IF(A30="Tháng",'Quy dinh'!$B$8,IF(A30="Tuần",'Quy dinh'!$B$7,0)),0))</f>
        <v/>
      </c>
    </row>
    <row r="31">
      <c r="A31" s="19" t="n"/>
      <c r="B31" s="19" t="n"/>
      <c r="C31" s="19" t="n"/>
      <c r="D31" s="19" t="n"/>
      <c r="E31" s="19" t="n"/>
      <c r="F31" s="19" t="n"/>
      <c r="G31" s="23">
        <f>IF(OR(E31="",F31=""),"",IF(E31=0,0,F31/E31))</f>
        <v/>
      </c>
      <c r="H31" s="19" t="n"/>
      <c r="I31" s="17">
        <f>IF(OR(E31="",H31=""),"",IF(E31&gt;=H31,"Đủ","Không đủ"))</f>
        <v/>
      </c>
      <c r="J31" s="19" t="n"/>
      <c r="K31" s="7">
        <f>IF(J31="","",IF(AND(LOWER(J31)="x",I31="Đủ"),IF(A31="Tháng",'Quy dinh'!$B$8,IF(A31="Tuần",'Quy dinh'!$B$7,0)),0))</f>
        <v/>
      </c>
    </row>
    <row r="32">
      <c r="A32" s="19" t="n"/>
      <c r="B32" s="19" t="n"/>
      <c r="C32" s="19" t="n"/>
      <c r="D32" s="19" t="n"/>
      <c r="E32" s="19" t="n"/>
      <c r="F32" s="19" t="n"/>
      <c r="G32" s="23">
        <f>IF(OR(E32="",F32=""),"",IF(E32=0,0,F32/E32))</f>
        <v/>
      </c>
      <c r="H32" s="19" t="n"/>
      <c r="I32" s="17">
        <f>IF(OR(E32="",H32=""),"",IF(E32&gt;=H32,"Đủ","Không đủ"))</f>
        <v/>
      </c>
      <c r="J32" s="19" t="n"/>
      <c r="K32" s="7">
        <f>IF(J32="","",IF(AND(LOWER(J32)="x",I32="Đủ"),IF(A32="Tháng",'Quy dinh'!$B$8,IF(A32="Tuần",'Quy dinh'!$B$7,0)),0))</f>
        <v/>
      </c>
    </row>
    <row r="33">
      <c r="A33" s="19" t="n"/>
      <c r="B33" s="19" t="n"/>
      <c r="C33" s="19" t="n"/>
      <c r="D33" s="19" t="n"/>
      <c r="E33" s="19" t="n"/>
      <c r="F33" s="19" t="n"/>
      <c r="G33" s="23">
        <f>IF(OR(E33="",F33=""),"",IF(E33=0,0,F33/E33))</f>
        <v/>
      </c>
      <c r="H33" s="19" t="n"/>
      <c r="I33" s="17">
        <f>IF(OR(E33="",H33=""),"",IF(E33&gt;=H33,"Đủ","Không đủ"))</f>
        <v/>
      </c>
      <c r="J33" s="19" t="n"/>
      <c r="K33" s="7">
        <f>IF(J33="","",IF(AND(LOWER(J33)="x",I33="Đủ"),IF(A33="Tháng",'Quy dinh'!$B$8,IF(A33="Tuần",'Quy dinh'!$B$7,0)),0))</f>
        <v/>
      </c>
    </row>
    <row r="34">
      <c r="A34" s="19" t="n"/>
      <c r="B34" s="19" t="n"/>
      <c r="C34" s="19" t="n"/>
      <c r="D34" s="19" t="n"/>
      <c r="E34" s="19" t="n"/>
      <c r="F34" s="19" t="n"/>
      <c r="G34" s="23">
        <f>IF(OR(E34="",F34=""),"",IF(E34=0,0,F34/E34))</f>
        <v/>
      </c>
      <c r="H34" s="19" t="n"/>
      <c r="I34" s="17">
        <f>IF(OR(E34="",H34=""),"",IF(E34&gt;=H34,"Đủ","Không đủ"))</f>
        <v/>
      </c>
      <c r="J34" s="19" t="n"/>
      <c r="K34" s="7">
        <f>IF(J34="","",IF(AND(LOWER(J34)="x",I34="Đủ"),IF(A34="Tháng",'Quy dinh'!$B$8,IF(A34="Tuần",'Quy dinh'!$B$7,0)),0))</f>
        <v/>
      </c>
    </row>
    <row r="35">
      <c r="A35" s="19" t="n"/>
      <c r="B35" s="19" t="n"/>
      <c r="C35" s="19" t="n"/>
      <c r="D35" s="19" t="n"/>
      <c r="E35" s="19" t="n"/>
      <c r="F35" s="19" t="n"/>
      <c r="G35" s="23">
        <f>IF(OR(E35="",F35=""),"",IF(E35=0,0,F35/E35))</f>
        <v/>
      </c>
      <c r="H35" s="19" t="n"/>
      <c r="I35" s="17">
        <f>IF(OR(E35="",H35=""),"",IF(E35&gt;=H35,"Đủ","Không đủ"))</f>
        <v/>
      </c>
      <c r="J35" s="19" t="n"/>
      <c r="K35" s="7">
        <f>IF(J35="","",IF(AND(LOWER(J35)="x",I35="Đủ"),IF(A35="Tháng",'Quy dinh'!$B$8,IF(A35="Tuần",'Quy dinh'!$B$7,0)),0))</f>
        <v/>
      </c>
    </row>
    <row r="36">
      <c r="A36" s="19" t="n"/>
      <c r="B36" s="19" t="n"/>
      <c r="C36" s="19" t="n"/>
      <c r="D36" s="19" t="n"/>
      <c r="E36" s="19" t="n"/>
      <c r="F36" s="19" t="n"/>
      <c r="G36" s="23">
        <f>IF(OR(E36="",F36=""),"",IF(E36=0,0,F36/E36))</f>
        <v/>
      </c>
      <c r="H36" s="19" t="n"/>
      <c r="I36" s="17">
        <f>IF(OR(E36="",H36=""),"",IF(E36&gt;=H36,"Đủ","Không đủ"))</f>
        <v/>
      </c>
      <c r="J36" s="19" t="n"/>
      <c r="K36" s="7">
        <f>IF(J36="","",IF(AND(LOWER(J36)="x",I36="Đủ"),IF(A36="Tháng",'Quy dinh'!$B$8,IF(A36="Tuần",'Quy dinh'!$B$7,0)),0))</f>
        <v/>
      </c>
    </row>
    <row r="37">
      <c r="A37" s="19" t="n"/>
      <c r="B37" s="19" t="n"/>
      <c r="C37" s="19" t="n"/>
      <c r="D37" s="19" t="n"/>
      <c r="E37" s="19" t="n"/>
      <c r="F37" s="19" t="n"/>
      <c r="G37" s="23">
        <f>IF(OR(E37="",F37=""),"",IF(E37=0,0,F37/E37))</f>
        <v/>
      </c>
      <c r="H37" s="19" t="n"/>
      <c r="I37" s="17">
        <f>IF(OR(E37="",H37=""),"",IF(E37&gt;=H37,"Đủ","Không đủ"))</f>
        <v/>
      </c>
      <c r="J37" s="19" t="n"/>
      <c r="K37" s="7">
        <f>IF(J37="","",IF(AND(LOWER(J37)="x",I37="Đủ"),IF(A37="Tháng",'Quy dinh'!$B$8,IF(A37="Tuần",'Quy dinh'!$B$7,0)),0))</f>
        <v/>
      </c>
    </row>
    <row r="38">
      <c r="A38" s="19" t="n"/>
      <c r="B38" s="19" t="n"/>
      <c r="C38" s="19" t="n"/>
      <c r="D38" s="19" t="n"/>
      <c r="E38" s="19" t="n"/>
      <c r="F38" s="19" t="n"/>
      <c r="G38" s="23">
        <f>IF(OR(E38="",F38=""),"",IF(E38=0,0,F38/E38))</f>
        <v/>
      </c>
      <c r="H38" s="19" t="n"/>
      <c r="I38" s="17">
        <f>IF(OR(E38="",H38=""),"",IF(E38&gt;=H38,"Đủ","Không đủ"))</f>
        <v/>
      </c>
      <c r="J38" s="19" t="n"/>
      <c r="K38" s="7">
        <f>IF(J38="","",IF(AND(LOWER(J38)="x",I38="Đủ"),IF(A38="Tháng",'Quy dinh'!$B$8,IF(A38="Tuần",'Quy dinh'!$B$7,0)),0))</f>
        <v/>
      </c>
    </row>
    <row r="39">
      <c r="A39" s="19" t="n"/>
      <c r="B39" s="19" t="n"/>
      <c r="C39" s="19" t="n"/>
      <c r="D39" s="19" t="n"/>
      <c r="E39" s="19" t="n"/>
      <c r="F39" s="19" t="n"/>
      <c r="G39" s="23">
        <f>IF(OR(E39="",F39=""),"",IF(E39=0,0,F39/E39))</f>
        <v/>
      </c>
      <c r="H39" s="19" t="n"/>
      <c r="I39" s="17">
        <f>IF(OR(E39="",H39=""),"",IF(E39&gt;=H39,"Đủ","Không đủ"))</f>
        <v/>
      </c>
      <c r="J39" s="19" t="n"/>
      <c r="K39" s="7">
        <f>IF(J39="","",IF(AND(LOWER(J39)="x",I39="Đủ"),IF(A39="Tháng",'Quy dinh'!$B$8,IF(A39="Tuần",'Quy dinh'!$B$7,0)),0))</f>
        <v/>
      </c>
    </row>
    <row r="40">
      <c r="A40" s="19" t="n"/>
      <c r="B40" s="19" t="n"/>
      <c r="C40" s="19" t="n"/>
      <c r="D40" s="19" t="n"/>
      <c r="E40" s="19" t="n"/>
      <c r="F40" s="19" t="n"/>
      <c r="G40" s="23">
        <f>IF(OR(E40="",F40=""),"",IF(E40=0,0,F40/E40))</f>
        <v/>
      </c>
      <c r="H40" s="19" t="n"/>
      <c r="I40" s="17">
        <f>IF(OR(E40="",H40=""),"",IF(E40&gt;=H40,"Đủ","Không đủ"))</f>
        <v/>
      </c>
      <c r="J40" s="19" t="n"/>
      <c r="K40" s="7">
        <f>IF(J40="","",IF(AND(LOWER(J40)="x",I40="Đủ"),IF(A40="Tháng",'Quy dinh'!$B$8,IF(A40="Tuần",'Quy dinh'!$B$7,0)),0))</f>
        <v/>
      </c>
    </row>
    <row r="41">
      <c r="A41" s="19" t="n"/>
      <c r="B41" s="19" t="n"/>
      <c r="C41" s="19" t="n"/>
      <c r="D41" s="19" t="n"/>
      <c r="E41" s="19" t="n"/>
      <c r="F41" s="19" t="n"/>
      <c r="G41" s="23">
        <f>IF(OR(E41="",F41=""),"",IF(E41=0,0,F41/E41))</f>
        <v/>
      </c>
      <c r="H41" s="19" t="n"/>
      <c r="I41" s="17">
        <f>IF(OR(E41="",H41=""),"",IF(E41&gt;=H41,"Đủ","Không đủ"))</f>
        <v/>
      </c>
      <c r="J41" s="19" t="n"/>
      <c r="K41" s="7">
        <f>IF(J41="","",IF(AND(LOWER(J41)="x",I41="Đủ"),IF(A41="Tháng",'Quy dinh'!$B$8,IF(A41="Tuần",'Quy dinh'!$B$7,0)),0))</f>
        <v/>
      </c>
    </row>
    <row r="42">
      <c r="A42" s="19" t="n"/>
      <c r="B42" s="19" t="n"/>
      <c r="C42" s="19" t="n"/>
      <c r="D42" s="19" t="n"/>
      <c r="E42" s="19" t="n"/>
      <c r="F42" s="19" t="n"/>
      <c r="G42" s="23">
        <f>IF(OR(E42="",F42=""),"",IF(E42=0,0,F42/E42))</f>
        <v/>
      </c>
      <c r="H42" s="19" t="n"/>
      <c r="I42" s="17">
        <f>IF(OR(E42="",H42=""),"",IF(E42&gt;=H42,"Đủ","Không đủ"))</f>
        <v/>
      </c>
      <c r="J42" s="19" t="n"/>
      <c r="K42" s="7">
        <f>IF(J42="","",IF(AND(LOWER(J42)="x",I42="Đủ"),IF(A42="Tháng",'Quy dinh'!$B$8,IF(A42="Tuần",'Quy dinh'!$B$7,0)),0))</f>
        <v/>
      </c>
    </row>
    <row r="43">
      <c r="A43" s="19" t="n"/>
      <c r="B43" s="19" t="n"/>
      <c r="C43" s="19" t="n"/>
      <c r="D43" s="19" t="n"/>
      <c r="E43" s="19" t="n"/>
      <c r="F43" s="19" t="n"/>
      <c r="G43" s="23">
        <f>IF(OR(E43="",F43=""),"",IF(E43=0,0,F43/E43))</f>
        <v/>
      </c>
      <c r="H43" s="19" t="n"/>
      <c r="I43" s="17">
        <f>IF(OR(E43="",H43=""),"",IF(E43&gt;=H43,"Đủ","Không đủ"))</f>
        <v/>
      </c>
      <c r="J43" s="19" t="n"/>
      <c r="K43" s="7">
        <f>IF(J43="","",IF(AND(LOWER(J43)="x",I43="Đủ"),IF(A43="Tháng",'Quy dinh'!$B$8,IF(A43="Tuần",'Quy dinh'!$B$7,0)),0))</f>
        <v/>
      </c>
    </row>
    <row r="44">
      <c r="A44" s="19" t="n"/>
      <c r="B44" s="19" t="n"/>
      <c r="C44" s="19" t="n"/>
      <c r="D44" s="19" t="n"/>
      <c r="E44" s="19" t="n"/>
      <c r="F44" s="19" t="n"/>
      <c r="G44" s="23">
        <f>IF(OR(E44="",F44=""),"",IF(E44=0,0,F44/E44))</f>
        <v/>
      </c>
      <c r="H44" s="19" t="n"/>
      <c r="I44" s="17">
        <f>IF(OR(E44="",H44=""),"",IF(E44&gt;=H44,"Đủ","Không đủ"))</f>
        <v/>
      </c>
      <c r="J44" s="19" t="n"/>
      <c r="K44" s="7">
        <f>IF(J44="","",IF(AND(LOWER(J44)="x",I44="Đủ"),IF(A44="Tháng",'Quy dinh'!$B$8,IF(A44="Tuần",'Quy dinh'!$B$7,0)),0))</f>
        <v/>
      </c>
    </row>
    <row r="45">
      <c r="A45" s="19" t="n"/>
      <c r="B45" s="19" t="n"/>
      <c r="C45" s="19" t="n"/>
      <c r="D45" s="19" t="n"/>
      <c r="E45" s="19" t="n"/>
      <c r="F45" s="19" t="n"/>
      <c r="G45" s="23">
        <f>IF(OR(E45="",F45=""),"",IF(E45=0,0,F45/E45))</f>
        <v/>
      </c>
      <c r="H45" s="19" t="n"/>
      <c r="I45" s="17">
        <f>IF(OR(E45="",H45=""),"",IF(E45&gt;=H45,"Đủ","Không đủ"))</f>
        <v/>
      </c>
      <c r="J45" s="19" t="n"/>
      <c r="K45" s="7">
        <f>IF(J45="","",IF(AND(LOWER(J45)="x",I45="Đủ"),IF(A45="Tháng",'Quy dinh'!$B$8,IF(A45="Tuần",'Quy dinh'!$B$7,0)),0))</f>
        <v/>
      </c>
    </row>
    <row r="46">
      <c r="A46" s="19" t="n"/>
      <c r="B46" s="19" t="n"/>
      <c r="C46" s="19" t="n"/>
      <c r="D46" s="19" t="n"/>
      <c r="E46" s="19" t="n"/>
      <c r="F46" s="19" t="n"/>
      <c r="G46" s="23">
        <f>IF(OR(E46="",F46=""),"",IF(E46=0,0,F46/E46))</f>
        <v/>
      </c>
      <c r="H46" s="19" t="n"/>
      <c r="I46" s="17">
        <f>IF(OR(E46="",H46=""),"",IF(E46&gt;=H46,"Đủ","Không đủ"))</f>
        <v/>
      </c>
      <c r="J46" s="19" t="n"/>
      <c r="K46" s="7">
        <f>IF(J46="","",IF(AND(LOWER(J46)="x",I46="Đủ"),IF(A46="Tháng",'Quy dinh'!$B$8,IF(A46="Tuần",'Quy dinh'!$B$7,0)),0))</f>
        <v/>
      </c>
    </row>
    <row r="47">
      <c r="A47" s="19" t="n"/>
      <c r="B47" s="19" t="n"/>
      <c r="C47" s="19" t="n"/>
      <c r="D47" s="19" t="n"/>
      <c r="E47" s="19" t="n"/>
      <c r="F47" s="19" t="n"/>
      <c r="G47" s="23">
        <f>IF(OR(E47="",F47=""),"",IF(E47=0,0,F47/E47))</f>
        <v/>
      </c>
      <c r="H47" s="19" t="n"/>
      <c r="I47" s="17">
        <f>IF(OR(E47="",H47=""),"",IF(E47&gt;=H47,"Đủ","Không đủ"))</f>
        <v/>
      </c>
      <c r="J47" s="19" t="n"/>
      <c r="K47" s="7">
        <f>IF(J47="","",IF(AND(LOWER(J47)="x",I47="Đủ"),IF(A47="Tháng",'Quy dinh'!$B$8,IF(A47="Tuần",'Quy dinh'!$B$7,0)),0))</f>
        <v/>
      </c>
    </row>
    <row r="48">
      <c r="A48" s="19" t="n"/>
      <c r="B48" s="19" t="n"/>
      <c r="C48" s="19" t="n"/>
      <c r="D48" s="19" t="n"/>
      <c r="E48" s="19" t="n"/>
      <c r="F48" s="19" t="n"/>
      <c r="G48" s="23">
        <f>IF(OR(E48="",F48=""),"",IF(E48=0,0,F48/E48))</f>
        <v/>
      </c>
      <c r="H48" s="19" t="n"/>
      <c r="I48" s="17">
        <f>IF(OR(E48="",H48=""),"",IF(E48&gt;=H48,"Đủ","Không đủ"))</f>
        <v/>
      </c>
      <c r="J48" s="19" t="n"/>
      <c r="K48" s="7">
        <f>IF(J48="","",IF(AND(LOWER(J48)="x",I48="Đủ"),IF(A48="Tháng",'Quy dinh'!$B$8,IF(A48="Tuần",'Quy dinh'!$B$7,0)),0))</f>
        <v/>
      </c>
    </row>
    <row r="49">
      <c r="A49" s="19" t="n"/>
      <c r="B49" s="19" t="n"/>
      <c r="C49" s="19" t="n"/>
      <c r="D49" s="19" t="n"/>
      <c r="E49" s="19" t="n"/>
      <c r="F49" s="19" t="n"/>
      <c r="G49" s="23">
        <f>IF(OR(E49="",F49=""),"",IF(E49=0,0,F49/E49))</f>
        <v/>
      </c>
      <c r="H49" s="19" t="n"/>
      <c r="I49" s="17">
        <f>IF(OR(E49="",H49=""),"",IF(E49&gt;=H49,"Đủ","Không đủ"))</f>
        <v/>
      </c>
      <c r="J49" s="19" t="n"/>
      <c r="K49" s="7">
        <f>IF(J49="","",IF(AND(LOWER(J49)="x",I49="Đủ"),IF(A49="Tháng",'Quy dinh'!$B$8,IF(A49="Tuần",'Quy dinh'!$B$7,0)),0))</f>
        <v/>
      </c>
    </row>
    <row r="50">
      <c r="A50" s="19" t="n"/>
      <c r="B50" s="19" t="n"/>
      <c r="C50" s="19" t="n"/>
      <c r="D50" s="19" t="n"/>
      <c r="E50" s="19" t="n"/>
      <c r="F50" s="19" t="n"/>
      <c r="G50" s="23">
        <f>IF(OR(E50="",F50=""),"",IF(E50=0,0,F50/E50))</f>
        <v/>
      </c>
      <c r="H50" s="19" t="n"/>
      <c r="I50" s="17">
        <f>IF(OR(E50="",H50=""),"",IF(E50&gt;=H50,"Đủ","Không đủ"))</f>
        <v/>
      </c>
      <c r="J50" s="19" t="n"/>
      <c r="K50" s="7">
        <f>IF(J50="","",IF(AND(LOWER(J50)="x",I50="Đủ"),IF(A50="Tháng",'Quy dinh'!$B$8,IF(A50="Tuần",'Quy dinh'!$B$7,0)),0))</f>
        <v/>
      </c>
    </row>
    <row r="51">
      <c r="A51" s="19" t="n"/>
      <c r="B51" s="19" t="n"/>
      <c r="C51" s="19" t="n"/>
      <c r="D51" s="19" t="n"/>
      <c r="E51" s="19" t="n"/>
      <c r="F51" s="19" t="n"/>
      <c r="G51" s="23">
        <f>IF(OR(E51="",F51=""),"",IF(E51=0,0,F51/E51))</f>
        <v/>
      </c>
      <c r="H51" s="19" t="n"/>
      <c r="I51" s="17">
        <f>IF(OR(E51="",H51=""),"",IF(E51&gt;=H51,"Đủ","Không đủ"))</f>
        <v/>
      </c>
      <c r="J51" s="19" t="n"/>
      <c r="K51" s="7">
        <f>IF(J51="","",IF(AND(LOWER(J51)="x",I51="Đủ"),IF(A51="Tháng",'Quy dinh'!$B$8,IF(A51="Tuần",'Quy dinh'!$B$7,0)),0))</f>
        <v/>
      </c>
    </row>
    <row r="52">
      <c r="A52" s="19" t="n"/>
      <c r="B52" s="19" t="n"/>
      <c r="C52" s="19" t="n"/>
      <c r="D52" s="19" t="n"/>
      <c r="E52" s="19" t="n"/>
      <c r="F52" s="19" t="n"/>
      <c r="G52" s="23">
        <f>IF(OR(E52="",F52=""),"",IF(E52=0,0,F52/E52))</f>
        <v/>
      </c>
      <c r="H52" s="19" t="n"/>
      <c r="I52" s="17">
        <f>IF(OR(E52="",H52=""),"",IF(E52&gt;=H52,"Đủ","Không đủ"))</f>
        <v/>
      </c>
      <c r="J52" s="19" t="n"/>
      <c r="K52" s="7">
        <f>IF(J52="","",IF(AND(LOWER(J52)="x",I52="Đủ"),IF(A52="Tháng",'Quy dinh'!$B$8,IF(A52="Tuần",'Quy dinh'!$B$7,0)),0))</f>
        <v/>
      </c>
    </row>
    <row r="53">
      <c r="A53" s="19" t="n"/>
      <c r="B53" s="19" t="n"/>
      <c r="C53" s="19" t="n"/>
      <c r="D53" s="19" t="n"/>
      <c r="E53" s="19" t="n"/>
      <c r="F53" s="19" t="n"/>
      <c r="G53" s="23">
        <f>IF(OR(E53="",F53=""),"",IF(E53=0,0,F53/E53))</f>
        <v/>
      </c>
      <c r="H53" s="19" t="n"/>
      <c r="I53" s="17">
        <f>IF(OR(E53="",H53=""),"",IF(E53&gt;=H53,"Đủ","Không đủ"))</f>
        <v/>
      </c>
      <c r="J53" s="19" t="n"/>
      <c r="K53" s="7">
        <f>IF(J53="","",IF(AND(LOWER(J53)="x",I53="Đủ"),IF(A53="Tháng",'Quy dinh'!$B$8,IF(A53="Tuần",'Quy dinh'!$B$7,0)),0))</f>
        <v/>
      </c>
    </row>
    <row r="54">
      <c r="A54" s="19" t="n"/>
      <c r="B54" s="19" t="n"/>
      <c r="C54" s="19" t="n"/>
      <c r="D54" s="19" t="n"/>
      <c r="E54" s="19" t="n"/>
      <c r="F54" s="19" t="n"/>
      <c r="G54" s="23">
        <f>IF(OR(E54="",F54=""),"",IF(E54=0,0,F54/E54))</f>
        <v/>
      </c>
      <c r="H54" s="19" t="n"/>
      <c r="I54" s="17">
        <f>IF(OR(E54="",H54=""),"",IF(E54&gt;=H54,"Đủ","Không đủ"))</f>
        <v/>
      </c>
      <c r="J54" s="19" t="n"/>
      <c r="K54" s="7">
        <f>IF(J54="","",IF(AND(LOWER(J54)="x",I54="Đủ"),IF(A54="Tháng",'Quy dinh'!$B$8,IF(A54="Tuần",'Quy dinh'!$B$7,0)),0))</f>
        <v/>
      </c>
    </row>
    <row r="55">
      <c r="A55" s="19" t="n"/>
      <c r="B55" s="19" t="n"/>
      <c r="C55" s="19" t="n"/>
      <c r="D55" s="19" t="n"/>
      <c r="E55" s="19" t="n"/>
      <c r="F55" s="19" t="n"/>
      <c r="G55" s="23">
        <f>IF(OR(E55="",F55=""),"",IF(E55=0,0,F55/E55))</f>
        <v/>
      </c>
      <c r="H55" s="19" t="n"/>
      <c r="I55" s="17">
        <f>IF(OR(E55="",H55=""),"",IF(E55&gt;=H55,"Đủ","Không đủ"))</f>
        <v/>
      </c>
      <c r="J55" s="19" t="n"/>
      <c r="K55" s="7">
        <f>IF(J55="","",IF(AND(LOWER(J55)="x",I55="Đủ"),IF(A55="Tháng",'Quy dinh'!$B$8,IF(A55="Tuần",'Quy dinh'!$B$7,0)),0))</f>
        <v/>
      </c>
    </row>
    <row r="56">
      <c r="A56" s="19" t="n"/>
      <c r="B56" s="19" t="n"/>
      <c r="C56" s="19" t="n"/>
      <c r="D56" s="19" t="n"/>
      <c r="E56" s="19" t="n"/>
      <c r="F56" s="19" t="n"/>
      <c r="G56" s="23">
        <f>IF(OR(E56="",F56=""),"",IF(E56=0,0,F56/E56))</f>
        <v/>
      </c>
      <c r="H56" s="19" t="n"/>
      <c r="I56" s="17">
        <f>IF(OR(E56="",H56=""),"",IF(E56&gt;=H56,"Đủ","Không đủ"))</f>
        <v/>
      </c>
      <c r="J56" s="19" t="n"/>
      <c r="K56" s="7">
        <f>IF(J56="","",IF(AND(LOWER(J56)="x",I56="Đủ"),IF(A56="Tháng",'Quy dinh'!$B$8,IF(A56="Tuần",'Quy dinh'!$B$7,0)),0))</f>
        <v/>
      </c>
    </row>
    <row r="57">
      <c r="A57" s="19" t="n"/>
      <c r="B57" s="19" t="n"/>
      <c r="C57" s="19" t="n"/>
      <c r="D57" s="19" t="n"/>
      <c r="E57" s="19" t="n"/>
      <c r="F57" s="19" t="n"/>
      <c r="G57" s="23">
        <f>IF(OR(E57="",F57=""),"",IF(E57=0,0,F57/E57))</f>
        <v/>
      </c>
      <c r="H57" s="19" t="n"/>
      <c r="I57" s="17">
        <f>IF(OR(E57="",H57=""),"",IF(E57&gt;=H57,"Đủ","Không đủ"))</f>
        <v/>
      </c>
      <c r="J57" s="19" t="n"/>
      <c r="K57" s="7">
        <f>IF(J57="","",IF(AND(LOWER(J57)="x",I57="Đủ"),IF(A57="Tháng",'Quy dinh'!$B$8,IF(A57="Tuần",'Quy dinh'!$B$7,0)),0))</f>
        <v/>
      </c>
    </row>
    <row r="58">
      <c r="A58" s="19" t="n"/>
      <c r="B58" s="19" t="n"/>
      <c r="C58" s="19" t="n"/>
      <c r="D58" s="19" t="n"/>
      <c r="E58" s="19" t="n"/>
      <c r="F58" s="19" t="n"/>
      <c r="G58" s="23">
        <f>IF(OR(E58="",F58=""),"",IF(E58=0,0,F58/E58))</f>
        <v/>
      </c>
      <c r="H58" s="19" t="n"/>
      <c r="I58" s="17">
        <f>IF(OR(E58="",H58=""),"",IF(E58&gt;=H58,"Đủ","Không đủ"))</f>
        <v/>
      </c>
      <c r="J58" s="19" t="n"/>
      <c r="K58" s="7">
        <f>IF(J58="","",IF(AND(LOWER(J58)="x",I58="Đủ"),IF(A58="Tháng",'Quy dinh'!$B$8,IF(A58="Tuần",'Quy dinh'!$B$7,0)),0))</f>
        <v/>
      </c>
    </row>
    <row r="59">
      <c r="A59" s="19" t="n"/>
      <c r="B59" s="19" t="n"/>
      <c r="C59" s="19" t="n"/>
      <c r="D59" s="19" t="n"/>
      <c r="E59" s="19" t="n"/>
      <c r="F59" s="19" t="n"/>
      <c r="G59" s="23">
        <f>IF(OR(E59="",F59=""),"",IF(E59=0,0,F59/E59))</f>
        <v/>
      </c>
      <c r="H59" s="19" t="n"/>
      <c r="I59" s="17">
        <f>IF(OR(E59="",H59=""),"",IF(E59&gt;=H59,"Đủ","Không đủ"))</f>
        <v/>
      </c>
      <c r="J59" s="19" t="n"/>
      <c r="K59" s="7">
        <f>IF(J59="","",IF(AND(LOWER(J59)="x",I59="Đủ"),IF(A59="Tháng",'Quy dinh'!$B$8,IF(A59="Tuần",'Quy dinh'!$B$7,0)),0))</f>
        <v/>
      </c>
    </row>
    <row r="60">
      <c r="A60" s="19" t="n"/>
      <c r="B60" s="19" t="n"/>
      <c r="C60" s="19" t="n"/>
      <c r="D60" s="19" t="n"/>
      <c r="E60" s="19" t="n"/>
      <c r="F60" s="19" t="n"/>
      <c r="G60" s="23">
        <f>IF(OR(E60="",F60=""),"",IF(E60=0,0,F60/E60))</f>
        <v/>
      </c>
      <c r="H60" s="19" t="n"/>
      <c r="I60" s="17">
        <f>IF(OR(E60="",H60=""),"",IF(E60&gt;=H60,"Đủ","Không đủ"))</f>
        <v/>
      </c>
      <c r="J60" s="19" t="n"/>
      <c r="K60" s="7">
        <f>IF(J60="","",IF(AND(LOWER(J60)="x",I60="Đủ"),IF(A60="Tháng",'Quy dinh'!$B$8,IF(A60="Tuần",'Quy dinh'!$B$7,0)),0))</f>
        <v/>
      </c>
    </row>
    <row r="61">
      <c r="A61" s="19" t="n"/>
      <c r="B61" s="19" t="n"/>
      <c r="C61" s="19" t="n"/>
      <c r="D61" s="19" t="n"/>
      <c r="E61" s="19" t="n"/>
      <c r="F61" s="19" t="n"/>
      <c r="G61" s="23">
        <f>IF(OR(E61="",F61=""),"",IF(E61=0,0,F61/E61))</f>
        <v/>
      </c>
      <c r="H61" s="19" t="n"/>
      <c r="I61" s="17">
        <f>IF(OR(E61="",H61=""),"",IF(E61&gt;=H61,"Đủ","Không đủ"))</f>
        <v/>
      </c>
      <c r="J61" s="19" t="n"/>
      <c r="K61" s="7">
        <f>IF(J61="","",IF(AND(LOWER(J61)="x",I61="Đủ"),IF(A61="Tháng",'Quy dinh'!$B$8,IF(A61="Tuần",'Quy dinh'!$B$7,0)),0))</f>
        <v/>
      </c>
    </row>
    <row r="62">
      <c r="A62" s="19" t="n"/>
      <c r="B62" s="19" t="n"/>
      <c r="C62" s="19" t="n"/>
      <c r="D62" s="19" t="n"/>
      <c r="E62" s="19" t="n"/>
      <c r="F62" s="19" t="n"/>
      <c r="G62" s="23">
        <f>IF(OR(E62="",F62=""),"",IF(E62=0,0,F62/E62))</f>
        <v/>
      </c>
      <c r="H62" s="19" t="n"/>
      <c r="I62" s="17">
        <f>IF(OR(E62="",H62=""),"",IF(E62&gt;=H62,"Đủ","Không đủ"))</f>
        <v/>
      </c>
      <c r="J62" s="19" t="n"/>
      <c r="K62" s="7">
        <f>IF(J62="","",IF(AND(LOWER(J62)="x",I62="Đủ"),IF(A62="Tháng",'Quy dinh'!$B$8,IF(A62="Tuần",'Quy dinh'!$B$7,0)),0))</f>
        <v/>
      </c>
    </row>
    <row r="63">
      <c r="A63" s="19" t="n"/>
      <c r="B63" s="19" t="n"/>
      <c r="C63" s="19" t="n"/>
      <c r="D63" s="19" t="n"/>
      <c r="E63" s="19" t="n"/>
      <c r="F63" s="19" t="n"/>
      <c r="G63" s="23">
        <f>IF(OR(E63="",F63=""),"",IF(E63=0,0,F63/E63))</f>
        <v/>
      </c>
      <c r="H63" s="19" t="n"/>
      <c r="I63" s="17">
        <f>IF(OR(E63="",H63=""),"",IF(E63&gt;=H63,"Đủ","Không đủ"))</f>
        <v/>
      </c>
      <c r="J63" s="19" t="n"/>
      <c r="K63" s="7">
        <f>IF(J63="","",IF(AND(LOWER(J63)="x",I63="Đủ"),IF(A63="Tháng",'Quy dinh'!$B$8,IF(A63="Tuần",'Quy dinh'!$B$7,0)),0))</f>
        <v/>
      </c>
    </row>
    <row r="64">
      <c r="A64" s="19" t="n"/>
      <c r="B64" s="19" t="n"/>
      <c r="C64" s="19" t="n"/>
      <c r="D64" s="19" t="n"/>
      <c r="E64" s="19" t="n"/>
      <c r="F64" s="19" t="n"/>
      <c r="G64" s="23">
        <f>IF(OR(E64="",F64=""),"",IF(E64=0,0,F64/E64))</f>
        <v/>
      </c>
      <c r="H64" s="19" t="n"/>
      <c r="I64" s="17">
        <f>IF(OR(E64="",H64=""),"",IF(E64&gt;=H64,"Đủ","Không đủ"))</f>
        <v/>
      </c>
      <c r="J64" s="19" t="n"/>
      <c r="K64" s="7">
        <f>IF(J64="","",IF(AND(LOWER(J64)="x",I64="Đủ"),IF(A64="Tháng",'Quy dinh'!$B$8,IF(A64="Tuần",'Quy dinh'!$B$7,0)),0))</f>
        <v/>
      </c>
    </row>
    <row r="65">
      <c r="A65" s="19" t="n"/>
      <c r="B65" s="19" t="n"/>
      <c r="C65" s="19" t="n"/>
      <c r="D65" s="19" t="n"/>
      <c r="E65" s="19" t="n"/>
      <c r="F65" s="19" t="n"/>
      <c r="G65" s="23">
        <f>IF(OR(E65="",F65=""),"",IF(E65=0,0,F65/E65))</f>
        <v/>
      </c>
      <c r="H65" s="19" t="n"/>
      <c r="I65" s="17">
        <f>IF(OR(E65="",H65=""),"",IF(E65&gt;=H65,"Đủ","Không đủ"))</f>
        <v/>
      </c>
      <c r="J65" s="19" t="n"/>
      <c r="K65" s="7">
        <f>IF(J65="","",IF(AND(LOWER(J65)="x",I65="Đủ"),IF(A65="Tháng",'Quy dinh'!$B$8,IF(A65="Tuần",'Quy dinh'!$B$7,0)),0))</f>
        <v/>
      </c>
    </row>
    <row r="66">
      <c r="A66" s="19" t="n"/>
      <c r="B66" s="19" t="n"/>
      <c r="C66" s="19" t="n"/>
      <c r="D66" s="19" t="n"/>
      <c r="E66" s="19" t="n"/>
      <c r="F66" s="19" t="n"/>
      <c r="G66" s="23">
        <f>IF(OR(E66="",F66=""),"",IF(E66=0,0,F66/E66))</f>
        <v/>
      </c>
      <c r="H66" s="19" t="n"/>
      <c r="I66" s="17">
        <f>IF(OR(E66="",H66=""),"",IF(E66&gt;=H66,"Đủ","Không đủ"))</f>
        <v/>
      </c>
      <c r="J66" s="19" t="n"/>
      <c r="K66" s="7">
        <f>IF(J66="","",IF(AND(LOWER(J66)="x",I66="Đủ"),IF(A66="Tháng",'Quy dinh'!$B$8,IF(A66="Tuần",'Quy dinh'!$B$7,0)),0))</f>
        <v/>
      </c>
    </row>
    <row r="67">
      <c r="A67" s="19" t="n"/>
      <c r="B67" s="19" t="n"/>
      <c r="C67" s="19" t="n"/>
      <c r="D67" s="19" t="n"/>
      <c r="E67" s="19" t="n"/>
      <c r="F67" s="19" t="n"/>
      <c r="G67" s="23">
        <f>IF(OR(E67="",F67=""),"",IF(E67=0,0,F67/E67))</f>
        <v/>
      </c>
      <c r="H67" s="19" t="n"/>
      <c r="I67" s="17">
        <f>IF(OR(E67="",H67=""),"",IF(E67&gt;=H67,"Đủ","Không đủ"))</f>
        <v/>
      </c>
      <c r="J67" s="19" t="n"/>
      <c r="K67" s="7">
        <f>IF(J67="","",IF(AND(LOWER(J67)="x",I67="Đủ"),IF(A67="Tháng",'Quy dinh'!$B$8,IF(A67="Tuần",'Quy dinh'!$B$7,0)),0))</f>
        <v/>
      </c>
    </row>
    <row r="68">
      <c r="A68" s="19" t="n"/>
      <c r="B68" s="19" t="n"/>
      <c r="C68" s="19" t="n"/>
      <c r="D68" s="19" t="n"/>
      <c r="E68" s="19" t="n"/>
      <c r="F68" s="19" t="n"/>
      <c r="G68" s="23">
        <f>IF(OR(E68="",F68=""),"",IF(E68=0,0,F68/E68))</f>
        <v/>
      </c>
      <c r="H68" s="19" t="n"/>
      <c r="I68" s="17">
        <f>IF(OR(E68="",H68=""),"",IF(E68&gt;=H68,"Đủ","Không đủ"))</f>
        <v/>
      </c>
      <c r="J68" s="19" t="n"/>
      <c r="K68" s="7">
        <f>IF(J68="","",IF(AND(LOWER(J68)="x",I68="Đủ"),IF(A68="Tháng",'Quy dinh'!$B$8,IF(A68="Tuần",'Quy dinh'!$B$7,0)),0))</f>
        <v/>
      </c>
    </row>
    <row r="69">
      <c r="A69" s="19" t="n"/>
      <c r="B69" s="19" t="n"/>
      <c r="C69" s="19" t="n"/>
      <c r="D69" s="19" t="n"/>
      <c r="E69" s="19" t="n"/>
      <c r="F69" s="19" t="n"/>
      <c r="G69" s="23">
        <f>IF(OR(E69="",F69=""),"",IF(E69=0,0,F69/E69))</f>
        <v/>
      </c>
      <c r="H69" s="19" t="n"/>
      <c r="I69" s="17">
        <f>IF(OR(E69="",H69=""),"",IF(E69&gt;=H69,"Đủ","Không đủ"))</f>
        <v/>
      </c>
      <c r="J69" s="19" t="n"/>
      <c r="K69" s="7">
        <f>IF(J69="","",IF(AND(LOWER(J69)="x",I69="Đủ"),IF(A69="Tháng",'Quy dinh'!$B$8,IF(A69="Tuần",'Quy dinh'!$B$7,0)),0))</f>
        <v/>
      </c>
    </row>
    <row r="70">
      <c r="A70" s="19" t="n"/>
      <c r="B70" s="19" t="n"/>
      <c r="C70" s="19" t="n"/>
      <c r="D70" s="19" t="n"/>
      <c r="E70" s="19" t="n"/>
      <c r="F70" s="19" t="n"/>
      <c r="G70" s="23">
        <f>IF(OR(E70="",F70=""),"",IF(E70=0,0,F70/E70))</f>
        <v/>
      </c>
      <c r="H70" s="19" t="n"/>
      <c r="I70" s="17">
        <f>IF(OR(E70="",H70=""),"",IF(E70&gt;=H70,"Đủ","Không đủ"))</f>
        <v/>
      </c>
      <c r="J70" s="19" t="n"/>
      <c r="K70" s="7">
        <f>IF(J70="","",IF(AND(LOWER(J70)="x",I70="Đủ"),IF(A70="Tháng",'Quy dinh'!$B$8,IF(A70="Tuần",'Quy dinh'!$B$7,0)),0))</f>
        <v/>
      </c>
    </row>
    <row r="71">
      <c r="A71" s="19" t="n"/>
      <c r="B71" s="19" t="n"/>
      <c r="C71" s="19" t="n"/>
      <c r="D71" s="19" t="n"/>
      <c r="E71" s="19" t="n"/>
      <c r="F71" s="19" t="n"/>
      <c r="G71" s="23">
        <f>IF(OR(E71="",F71=""),"",IF(E71=0,0,F71/E71))</f>
        <v/>
      </c>
      <c r="H71" s="19" t="n"/>
      <c r="I71" s="17">
        <f>IF(OR(E71="",H71=""),"",IF(E71&gt;=H71,"Đủ","Không đủ"))</f>
        <v/>
      </c>
      <c r="J71" s="19" t="n"/>
      <c r="K71" s="7">
        <f>IF(J71="","",IF(AND(LOWER(J71)="x",I71="Đủ"),IF(A71="Tháng",'Quy dinh'!$B$8,IF(A71="Tuần",'Quy dinh'!$B$7,0)),0))</f>
        <v/>
      </c>
    </row>
    <row r="72">
      <c r="A72" s="19" t="n"/>
      <c r="B72" s="19" t="n"/>
      <c r="C72" s="19" t="n"/>
      <c r="D72" s="19" t="n"/>
      <c r="E72" s="19" t="n"/>
      <c r="F72" s="19" t="n"/>
      <c r="G72" s="23">
        <f>IF(OR(E72="",F72=""),"",IF(E72=0,0,F72/E72))</f>
        <v/>
      </c>
      <c r="H72" s="19" t="n"/>
      <c r="I72" s="17">
        <f>IF(OR(E72="",H72=""),"",IF(E72&gt;=H72,"Đủ","Không đủ"))</f>
        <v/>
      </c>
      <c r="J72" s="19" t="n"/>
      <c r="K72" s="7">
        <f>IF(J72="","",IF(AND(LOWER(J72)="x",I72="Đủ"),IF(A72="Tháng",'Quy dinh'!$B$8,IF(A72="Tuần",'Quy dinh'!$B$7,0)),0))</f>
        <v/>
      </c>
    </row>
    <row r="73">
      <c r="A73" s="19" t="n"/>
      <c r="B73" s="19" t="n"/>
      <c r="C73" s="19" t="n"/>
      <c r="D73" s="19" t="n"/>
      <c r="E73" s="19" t="n"/>
      <c r="F73" s="19" t="n"/>
      <c r="G73" s="23">
        <f>IF(OR(E73="",F73=""),"",IF(E73=0,0,F73/E73))</f>
        <v/>
      </c>
      <c r="H73" s="19" t="n"/>
      <c r="I73" s="17">
        <f>IF(OR(E73="",H73=""),"",IF(E73&gt;=H73,"Đủ","Không đủ"))</f>
        <v/>
      </c>
      <c r="J73" s="19" t="n"/>
      <c r="K73" s="7">
        <f>IF(J73="","",IF(AND(LOWER(J73)="x",I73="Đủ"),IF(A73="Tháng",'Quy dinh'!$B$8,IF(A73="Tuần",'Quy dinh'!$B$7,0)),0))</f>
        <v/>
      </c>
    </row>
    <row r="74">
      <c r="A74" s="19" t="n"/>
      <c r="B74" s="19" t="n"/>
      <c r="C74" s="19" t="n"/>
      <c r="D74" s="19" t="n"/>
      <c r="E74" s="19" t="n"/>
      <c r="F74" s="19" t="n"/>
      <c r="G74" s="23">
        <f>IF(OR(E74="",F74=""),"",IF(E74=0,0,F74/E74))</f>
        <v/>
      </c>
      <c r="H74" s="19" t="n"/>
      <c r="I74" s="17">
        <f>IF(OR(E74="",H74=""),"",IF(E74&gt;=H74,"Đủ","Không đủ"))</f>
        <v/>
      </c>
      <c r="J74" s="19" t="n"/>
      <c r="K74" s="7">
        <f>IF(J74="","",IF(AND(LOWER(J74)="x",I74="Đủ"),IF(A74="Tháng",'Quy dinh'!$B$8,IF(A74="Tuần",'Quy dinh'!$B$7,0)),0))</f>
        <v/>
      </c>
    </row>
    <row r="75">
      <c r="A75" s="19" t="n"/>
      <c r="B75" s="19" t="n"/>
      <c r="C75" s="19" t="n"/>
      <c r="D75" s="19" t="n"/>
      <c r="E75" s="19" t="n"/>
      <c r="F75" s="19" t="n"/>
      <c r="G75" s="23">
        <f>IF(OR(E75="",F75=""),"",IF(E75=0,0,F75/E75))</f>
        <v/>
      </c>
      <c r="H75" s="19" t="n"/>
      <c r="I75" s="17">
        <f>IF(OR(E75="",H75=""),"",IF(E75&gt;=H75,"Đủ","Không đủ"))</f>
        <v/>
      </c>
      <c r="J75" s="19" t="n"/>
      <c r="K75" s="7">
        <f>IF(J75="","",IF(AND(LOWER(J75)="x",I75="Đủ"),IF(A75="Tháng",'Quy dinh'!$B$8,IF(A75="Tuần",'Quy dinh'!$B$7,0)),0))</f>
        <v/>
      </c>
    </row>
    <row r="76">
      <c r="A76" s="19" t="n"/>
      <c r="B76" s="19" t="n"/>
      <c r="C76" s="19" t="n"/>
      <c r="D76" s="19" t="n"/>
      <c r="E76" s="19" t="n"/>
      <c r="F76" s="19" t="n"/>
      <c r="G76" s="23">
        <f>IF(OR(E76="",F76=""),"",IF(E76=0,0,F76/E76))</f>
        <v/>
      </c>
      <c r="H76" s="19" t="n"/>
      <c r="I76" s="17">
        <f>IF(OR(E76="",H76=""),"",IF(E76&gt;=H76,"Đủ","Không đủ"))</f>
        <v/>
      </c>
      <c r="J76" s="19" t="n"/>
      <c r="K76" s="7">
        <f>IF(J76="","",IF(AND(LOWER(J76)="x",I76="Đủ"),IF(A76="Tháng",'Quy dinh'!$B$8,IF(A76="Tuần",'Quy dinh'!$B$7,0)),0))</f>
        <v/>
      </c>
    </row>
    <row r="77">
      <c r="A77" s="19" t="n"/>
      <c r="B77" s="19" t="n"/>
      <c r="C77" s="19" t="n"/>
      <c r="D77" s="19" t="n"/>
      <c r="E77" s="19" t="n"/>
      <c r="F77" s="19" t="n"/>
      <c r="G77" s="23">
        <f>IF(OR(E77="",F77=""),"",IF(E77=0,0,F77/E77))</f>
        <v/>
      </c>
      <c r="H77" s="19" t="n"/>
      <c r="I77" s="17">
        <f>IF(OR(E77="",H77=""),"",IF(E77&gt;=H77,"Đủ","Không đủ"))</f>
        <v/>
      </c>
      <c r="J77" s="19" t="n"/>
      <c r="K77" s="7">
        <f>IF(J77="","",IF(AND(LOWER(J77)="x",I77="Đủ"),IF(A77="Tháng",'Quy dinh'!$B$8,IF(A77="Tuần",'Quy dinh'!$B$7,0)),0))</f>
        <v/>
      </c>
    </row>
    <row r="78">
      <c r="A78" s="19" t="n"/>
      <c r="B78" s="19" t="n"/>
      <c r="C78" s="19" t="n"/>
      <c r="D78" s="19" t="n"/>
      <c r="E78" s="19" t="n"/>
      <c r="F78" s="19" t="n"/>
      <c r="G78" s="23">
        <f>IF(OR(E78="",F78=""),"",IF(E78=0,0,F78/E78))</f>
        <v/>
      </c>
      <c r="H78" s="19" t="n"/>
      <c r="I78" s="17">
        <f>IF(OR(E78="",H78=""),"",IF(E78&gt;=H78,"Đủ","Không đủ"))</f>
        <v/>
      </c>
      <c r="J78" s="19" t="n"/>
      <c r="K78" s="7">
        <f>IF(J78="","",IF(AND(LOWER(J78)="x",I78="Đủ"),IF(A78="Tháng",'Quy dinh'!$B$8,IF(A78="Tuần",'Quy dinh'!$B$7,0)),0))</f>
        <v/>
      </c>
    </row>
    <row r="79">
      <c r="A79" s="19" t="n"/>
      <c r="B79" s="19" t="n"/>
      <c r="C79" s="19" t="n"/>
      <c r="D79" s="19" t="n"/>
      <c r="E79" s="19" t="n"/>
      <c r="F79" s="19" t="n"/>
      <c r="G79" s="23">
        <f>IF(OR(E79="",F79=""),"",IF(E79=0,0,F79/E79))</f>
        <v/>
      </c>
      <c r="H79" s="19" t="n"/>
      <c r="I79" s="17">
        <f>IF(OR(E79="",H79=""),"",IF(E79&gt;=H79,"Đủ","Không đủ"))</f>
        <v/>
      </c>
      <c r="J79" s="19" t="n"/>
      <c r="K79" s="7">
        <f>IF(J79="","",IF(AND(LOWER(J79)="x",I79="Đủ"),IF(A79="Tháng",'Quy dinh'!$B$8,IF(A79="Tuần",'Quy dinh'!$B$7,0)),0))</f>
        <v/>
      </c>
    </row>
    <row r="80">
      <c r="A80" s="19" t="n"/>
      <c r="B80" s="19" t="n"/>
      <c r="C80" s="19" t="n"/>
      <c r="D80" s="19" t="n"/>
      <c r="E80" s="19" t="n"/>
      <c r="F80" s="19" t="n"/>
      <c r="G80" s="23">
        <f>IF(OR(E80="",F80=""),"",IF(E80=0,0,F80/E80))</f>
        <v/>
      </c>
      <c r="H80" s="19" t="n"/>
      <c r="I80" s="17">
        <f>IF(OR(E80="",H80=""),"",IF(E80&gt;=H80,"Đủ","Không đủ"))</f>
        <v/>
      </c>
      <c r="J80" s="19" t="n"/>
      <c r="K80" s="7">
        <f>IF(J80="","",IF(AND(LOWER(J80)="x",I80="Đủ"),IF(A80="Tháng",'Quy dinh'!$B$8,IF(A80="Tuần",'Quy dinh'!$B$7,0)),0))</f>
        <v/>
      </c>
    </row>
    <row r="81">
      <c r="A81" s="19" t="n"/>
      <c r="B81" s="19" t="n"/>
      <c r="C81" s="19" t="n"/>
      <c r="D81" s="19" t="n"/>
      <c r="E81" s="19" t="n"/>
      <c r="F81" s="19" t="n"/>
      <c r="G81" s="23">
        <f>IF(OR(E81="",F81=""),"",IF(E81=0,0,F81/E81))</f>
        <v/>
      </c>
      <c r="H81" s="19" t="n"/>
      <c r="I81" s="17">
        <f>IF(OR(E81="",H81=""),"",IF(E81&gt;=H81,"Đủ","Không đủ"))</f>
        <v/>
      </c>
      <c r="J81" s="19" t="n"/>
      <c r="K81" s="7">
        <f>IF(J81="","",IF(AND(LOWER(J81)="x",I81="Đủ"),IF(A81="Tháng",'Quy dinh'!$B$8,IF(A81="Tuần",'Quy dinh'!$B$7,0)),0))</f>
        <v/>
      </c>
    </row>
    <row r="82">
      <c r="A82" s="19" t="n"/>
      <c r="B82" s="19" t="n"/>
      <c r="C82" s="19" t="n"/>
      <c r="D82" s="19" t="n"/>
      <c r="E82" s="19" t="n"/>
      <c r="F82" s="19" t="n"/>
      <c r="G82" s="23">
        <f>IF(OR(E82="",F82=""),"",IF(E82=0,0,F82/E82))</f>
        <v/>
      </c>
      <c r="H82" s="19" t="n"/>
      <c r="I82" s="17">
        <f>IF(OR(E82="",H82=""),"",IF(E82&gt;=H82,"Đủ","Không đủ"))</f>
        <v/>
      </c>
      <c r="J82" s="19" t="n"/>
      <c r="K82" s="7">
        <f>IF(J82="","",IF(AND(LOWER(J82)="x",I82="Đủ"),IF(A82="Tháng",'Quy dinh'!$B$8,IF(A82="Tuần",'Quy dinh'!$B$7,0)),0))</f>
        <v/>
      </c>
    </row>
    <row r="83">
      <c r="A83" s="19" t="n"/>
      <c r="B83" s="19" t="n"/>
      <c r="C83" s="19" t="n"/>
      <c r="D83" s="19" t="n"/>
      <c r="E83" s="19" t="n"/>
      <c r="F83" s="19" t="n"/>
      <c r="G83" s="23">
        <f>IF(OR(E83="",F83=""),"",IF(E83=0,0,F83/E83))</f>
        <v/>
      </c>
      <c r="H83" s="19" t="n"/>
      <c r="I83" s="17">
        <f>IF(OR(E83="",H83=""),"",IF(E83&gt;=H83,"Đủ","Không đủ"))</f>
        <v/>
      </c>
      <c r="J83" s="19" t="n"/>
      <c r="K83" s="7">
        <f>IF(J83="","",IF(AND(LOWER(J83)="x",I83="Đủ"),IF(A83="Tháng",'Quy dinh'!$B$8,IF(A83="Tuần",'Quy dinh'!$B$7,0)),0))</f>
        <v/>
      </c>
    </row>
    <row r="84">
      <c r="A84" s="19" t="n"/>
      <c r="B84" s="19" t="n"/>
      <c r="C84" s="19" t="n"/>
      <c r="D84" s="19" t="n"/>
      <c r="E84" s="19" t="n"/>
      <c r="F84" s="19" t="n"/>
      <c r="G84" s="23">
        <f>IF(OR(E84="",F84=""),"",IF(E84=0,0,F84/E84))</f>
        <v/>
      </c>
      <c r="H84" s="19" t="n"/>
      <c r="I84" s="17">
        <f>IF(OR(E84="",H84=""),"",IF(E84&gt;=H84,"Đủ","Không đủ"))</f>
        <v/>
      </c>
      <c r="J84" s="19" t="n"/>
      <c r="K84" s="7">
        <f>IF(J84="","",IF(AND(LOWER(J84)="x",I84="Đủ"),IF(A84="Tháng",'Quy dinh'!$B$8,IF(A84="Tuần",'Quy dinh'!$B$7,0)),0))</f>
        <v/>
      </c>
    </row>
    <row r="85">
      <c r="A85" s="19" t="n"/>
      <c r="B85" s="19" t="n"/>
      <c r="C85" s="19" t="n"/>
      <c r="D85" s="19" t="n"/>
      <c r="E85" s="19" t="n"/>
      <c r="F85" s="19" t="n"/>
      <c r="G85" s="23">
        <f>IF(OR(E85="",F85=""),"",IF(E85=0,0,F85/E85))</f>
        <v/>
      </c>
      <c r="H85" s="19" t="n"/>
      <c r="I85" s="17">
        <f>IF(OR(E85="",H85=""),"",IF(E85&gt;=H85,"Đủ","Không đủ"))</f>
        <v/>
      </c>
      <c r="J85" s="19" t="n"/>
      <c r="K85" s="7">
        <f>IF(J85="","",IF(AND(LOWER(J85)="x",I85="Đủ"),IF(A85="Tháng",'Quy dinh'!$B$8,IF(A85="Tuần",'Quy dinh'!$B$7,0)),0))</f>
        <v/>
      </c>
    </row>
    <row r="86">
      <c r="A86" s="19" t="n"/>
      <c r="B86" s="19" t="n"/>
      <c r="C86" s="19" t="n"/>
      <c r="D86" s="19" t="n"/>
      <c r="E86" s="19" t="n"/>
      <c r="F86" s="19" t="n"/>
      <c r="G86" s="23">
        <f>IF(OR(E86="",F86=""),"",IF(E86=0,0,F86/E86))</f>
        <v/>
      </c>
      <c r="H86" s="19" t="n"/>
      <c r="I86" s="17">
        <f>IF(OR(E86="",H86=""),"",IF(E86&gt;=H86,"Đủ","Không đủ"))</f>
        <v/>
      </c>
      <c r="J86" s="19" t="n"/>
      <c r="K86" s="7">
        <f>IF(J86="","",IF(AND(LOWER(J86)="x",I86="Đủ"),IF(A86="Tháng",'Quy dinh'!$B$8,IF(A86="Tuần",'Quy dinh'!$B$7,0)),0))</f>
        <v/>
      </c>
    </row>
    <row r="87">
      <c r="A87" s="19" t="n"/>
      <c r="B87" s="19" t="n"/>
      <c r="C87" s="19" t="n"/>
      <c r="D87" s="19" t="n"/>
      <c r="E87" s="19" t="n"/>
      <c r="F87" s="19" t="n"/>
      <c r="G87" s="23">
        <f>IF(OR(E87="",F87=""),"",IF(E87=0,0,F87/E87))</f>
        <v/>
      </c>
      <c r="H87" s="19" t="n"/>
      <c r="I87" s="17">
        <f>IF(OR(E87="",H87=""),"",IF(E87&gt;=H87,"Đủ","Không đủ"))</f>
        <v/>
      </c>
      <c r="J87" s="19" t="n"/>
      <c r="K87" s="7">
        <f>IF(J87="","",IF(AND(LOWER(J87)="x",I87="Đủ"),IF(A87="Tháng",'Quy dinh'!$B$8,IF(A87="Tuần",'Quy dinh'!$B$7,0)),0))</f>
        <v/>
      </c>
    </row>
    <row r="88">
      <c r="A88" s="19" t="n"/>
      <c r="B88" s="19" t="n"/>
      <c r="C88" s="19" t="n"/>
      <c r="D88" s="19" t="n"/>
      <c r="E88" s="19" t="n"/>
      <c r="F88" s="19" t="n"/>
      <c r="G88" s="23">
        <f>IF(OR(E88="",F88=""),"",IF(E88=0,0,F88/E88))</f>
        <v/>
      </c>
      <c r="H88" s="19" t="n"/>
      <c r="I88" s="17">
        <f>IF(OR(E88="",H88=""),"",IF(E88&gt;=H88,"Đủ","Không đủ"))</f>
        <v/>
      </c>
      <c r="J88" s="19" t="n"/>
      <c r="K88" s="7">
        <f>IF(J88="","",IF(AND(LOWER(J88)="x",I88="Đủ"),IF(A88="Tháng",'Quy dinh'!$B$8,IF(A88="Tuần",'Quy dinh'!$B$7,0)),0))</f>
        <v/>
      </c>
    </row>
    <row r="89">
      <c r="A89" s="19" t="n"/>
      <c r="B89" s="19" t="n"/>
      <c r="C89" s="19" t="n"/>
      <c r="D89" s="19" t="n"/>
      <c r="E89" s="19" t="n"/>
      <c r="F89" s="19" t="n"/>
      <c r="G89" s="23">
        <f>IF(OR(E89="",F89=""),"",IF(E89=0,0,F89/E89))</f>
        <v/>
      </c>
      <c r="H89" s="19" t="n"/>
      <c r="I89" s="17">
        <f>IF(OR(E89="",H89=""),"",IF(E89&gt;=H89,"Đủ","Không đủ"))</f>
        <v/>
      </c>
      <c r="J89" s="19" t="n"/>
      <c r="K89" s="7">
        <f>IF(J89="","",IF(AND(LOWER(J89)="x",I89="Đủ"),IF(A89="Tháng",'Quy dinh'!$B$8,IF(A89="Tuần",'Quy dinh'!$B$7,0)),0))</f>
        <v/>
      </c>
    </row>
    <row r="90">
      <c r="A90" s="19" t="n"/>
      <c r="B90" s="19" t="n"/>
      <c r="C90" s="19" t="n"/>
      <c r="D90" s="19" t="n"/>
      <c r="E90" s="19" t="n"/>
      <c r="F90" s="19" t="n"/>
      <c r="G90" s="23">
        <f>IF(OR(E90="",F90=""),"",IF(E90=0,0,F90/E90))</f>
        <v/>
      </c>
      <c r="H90" s="19" t="n"/>
      <c r="I90" s="17">
        <f>IF(OR(E90="",H90=""),"",IF(E90&gt;=H90,"Đủ","Không đủ"))</f>
        <v/>
      </c>
      <c r="J90" s="19" t="n"/>
      <c r="K90" s="7">
        <f>IF(J90="","",IF(AND(LOWER(J90)="x",I90="Đủ"),IF(A90="Tháng",'Quy dinh'!$B$8,IF(A90="Tuần",'Quy dinh'!$B$7,0)),0))</f>
        <v/>
      </c>
    </row>
    <row r="91">
      <c r="A91" s="19" t="n"/>
      <c r="B91" s="19" t="n"/>
      <c r="C91" s="19" t="n"/>
      <c r="D91" s="19" t="n"/>
      <c r="E91" s="19" t="n"/>
      <c r="F91" s="19" t="n"/>
      <c r="G91" s="23">
        <f>IF(OR(E91="",F91=""),"",IF(E91=0,0,F91/E91))</f>
        <v/>
      </c>
      <c r="H91" s="19" t="n"/>
      <c r="I91" s="17">
        <f>IF(OR(E91="",H91=""),"",IF(E91&gt;=H91,"Đủ","Không đủ"))</f>
        <v/>
      </c>
      <c r="J91" s="19" t="n"/>
      <c r="K91" s="7">
        <f>IF(J91="","",IF(AND(LOWER(J91)="x",I91="Đủ"),IF(A91="Tháng",'Quy dinh'!$B$8,IF(A91="Tuần",'Quy dinh'!$B$7,0)),0))</f>
        <v/>
      </c>
    </row>
    <row r="92">
      <c r="A92" s="19" t="n"/>
      <c r="B92" s="19" t="n"/>
      <c r="C92" s="19" t="n"/>
      <c r="D92" s="19" t="n"/>
      <c r="E92" s="19" t="n"/>
      <c r="F92" s="19" t="n"/>
      <c r="G92" s="23">
        <f>IF(OR(E92="",F92=""),"",IF(E92=0,0,F92/E92))</f>
        <v/>
      </c>
      <c r="H92" s="19" t="n"/>
      <c r="I92" s="17">
        <f>IF(OR(E92="",H92=""),"",IF(E92&gt;=H92,"Đủ","Không đủ"))</f>
        <v/>
      </c>
      <c r="J92" s="19" t="n"/>
      <c r="K92" s="7">
        <f>IF(J92="","",IF(AND(LOWER(J92)="x",I92="Đủ"),IF(A92="Tháng",'Quy dinh'!$B$8,IF(A92="Tuần",'Quy dinh'!$B$7,0)),0))</f>
        <v/>
      </c>
    </row>
    <row r="93">
      <c r="A93" s="19" t="n"/>
      <c r="B93" s="19" t="n"/>
      <c r="C93" s="19" t="n"/>
      <c r="D93" s="19" t="n"/>
      <c r="E93" s="19" t="n"/>
      <c r="F93" s="19" t="n"/>
      <c r="G93" s="23">
        <f>IF(OR(E93="",F93=""),"",IF(E93=0,0,F93/E93))</f>
        <v/>
      </c>
      <c r="H93" s="19" t="n"/>
      <c r="I93" s="17">
        <f>IF(OR(E93="",H93=""),"",IF(E93&gt;=H93,"Đủ","Không đủ"))</f>
        <v/>
      </c>
      <c r="J93" s="19" t="n"/>
      <c r="K93" s="7">
        <f>IF(J93="","",IF(AND(LOWER(J93)="x",I93="Đủ"),IF(A93="Tháng",'Quy dinh'!$B$8,IF(A93="Tuần",'Quy dinh'!$B$7,0)),0))</f>
        <v/>
      </c>
    </row>
    <row r="94">
      <c r="A94" s="19" t="n"/>
      <c r="B94" s="19" t="n"/>
      <c r="C94" s="19" t="n"/>
      <c r="D94" s="19" t="n"/>
      <c r="E94" s="19" t="n"/>
      <c r="F94" s="19" t="n"/>
      <c r="G94" s="23">
        <f>IF(OR(E94="",F94=""),"",IF(E94=0,0,F94/E94))</f>
        <v/>
      </c>
      <c r="H94" s="19" t="n"/>
      <c r="I94" s="17">
        <f>IF(OR(E94="",H94=""),"",IF(E94&gt;=H94,"Đủ","Không đủ"))</f>
        <v/>
      </c>
      <c r="J94" s="19" t="n"/>
      <c r="K94" s="7">
        <f>IF(J94="","",IF(AND(LOWER(J94)="x",I94="Đủ"),IF(A94="Tháng",'Quy dinh'!$B$8,IF(A94="Tuần",'Quy dinh'!$B$7,0)),0))</f>
        <v/>
      </c>
    </row>
    <row r="95">
      <c r="A95" s="19" t="n"/>
      <c r="B95" s="19" t="n"/>
      <c r="C95" s="19" t="n"/>
      <c r="D95" s="19" t="n"/>
      <c r="E95" s="19" t="n"/>
      <c r="F95" s="19" t="n"/>
      <c r="G95" s="23">
        <f>IF(OR(E95="",F95=""),"",IF(E95=0,0,F95/E95))</f>
        <v/>
      </c>
      <c r="H95" s="19" t="n"/>
      <c r="I95" s="17">
        <f>IF(OR(E95="",H95=""),"",IF(E95&gt;=H95,"Đủ","Không đủ"))</f>
        <v/>
      </c>
      <c r="J95" s="19" t="n"/>
      <c r="K95" s="7">
        <f>IF(J95="","",IF(AND(LOWER(J95)="x",I95="Đủ"),IF(A95="Tháng",'Quy dinh'!$B$8,IF(A95="Tuần",'Quy dinh'!$B$7,0)),0))</f>
        <v/>
      </c>
    </row>
    <row r="96">
      <c r="A96" s="19" t="n"/>
      <c r="B96" s="19" t="n"/>
      <c r="C96" s="19" t="n"/>
      <c r="D96" s="19" t="n"/>
      <c r="E96" s="19" t="n"/>
      <c r="F96" s="19" t="n"/>
      <c r="G96" s="23">
        <f>IF(OR(E96="",F96=""),"",IF(E96=0,0,F96/E96))</f>
        <v/>
      </c>
      <c r="H96" s="19" t="n"/>
      <c r="I96" s="17">
        <f>IF(OR(E96="",H96=""),"",IF(E96&gt;=H96,"Đủ","Không đủ"))</f>
        <v/>
      </c>
      <c r="J96" s="19" t="n"/>
      <c r="K96" s="7">
        <f>IF(J96="","",IF(AND(LOWER(J96)="x",I96="Đủ"),IF(A96="Tháng",'Quy dinh'!$B$8,IF(A96="Tuần",'Quy dinh'!$B$7,0)),0))</f>
        <v/>
      </c>
    </row>
    <row r="97">
      <c r="A97" s="19" t="n"/>
      <c r="B97" s="19" t="n"/>
      <c r="C97" s="19" t="n"/>
      <c r="D97" s="19" t="n"/>
      <c r="E97" s="19" t="n"/>
      <c r="F97" s="19" t="n"/>
      <c r="G97" s="23">
        <f>IF(OR(E97="",F97=""),"",IF(E97=0,0,F97/E97))</f>
        <v/>
      </c>
      <c r="H97" s="19" t="n"/>
      <c r="I97" s="17">
        <f>IF(OR(E97="",H97=""),"",IF(E97&gt;=H97,"Đủ","Không đủ"))</f>
        <v/>
      </c>
      <c r="J97" s="19" t="n"/>
      <c r="K97" s="7">
        <f>IF(J97="","",IF(AND(LOWER(J97)="x",I97="Đủ"),IF(A97="Tháng",'Quy dinh'!$B$8,IF(A97="Tuần",'Quy dinh'!$B$7,0)),0))</f>
        <v/>
      </c>
    </row>
    <row r="98">
      <c r="A98" s="19" t="n"/>
      <c r="B98" s="19" t="n"/>
      <c r="C98" s="19" t="n"/>
      <c r="D98" s="19" t="n"/>
      <c r="E98" s="19" t="n"/>
      <c r="F98" s="19" t="n"/>
      <c r="G98" s="23">
        <f>IF(OR(E98="",F98=""),"",IF(E98=0,0,F98/E98))</f>
        <v/>
      </c>
      <c r="H98" s="19" t="n"/>
      <c r="I98" s="17">
        <f>IF(OR(E98="",H98=""),"",IF(E98&gt;=H98,"Đủ","Không đủ"))</f>
        <v/>
      </c>
      <c r="J98" s="19" t="n"/>
      <c r="K98" s="7">
        <f>IF(J98="","",IF(AND(LOWER(J98)="x",I98="Đủ"),IF(A98="Tháng",'Quy dinh'!$B$8,IF(A98="Tuần",'Quy dinh'!$B$7,0)),0))</f>
        <v/>
      </c>
    </row>
    <row r="99">
      <c r="A99" s="19" t="n"/>
      <c r="B99" s="19" t="n"/>
      <c r="C99" s="19" t="n"/>
      <c r="D99" s="19" t="n"/>
      <c r="E99" s="19" t="n"/>
      <c r="F99" s="19" t="n"/>
      <c r="G99" s="23">
        <f>IF(OR(E99="",F99=""),"",IF(E99=0,0,F99/E99))</f>
        <v/>
      </c>
      <c r="H99" s="19" t="n"/>
      <c r="I99" s="17">
        <f>IF(OR(E99="",H99=""),"",IF(E99&gt;=H99,"Đủ","Không đủ"))</f>
        <v/>
      </c>
      <c r="J99" s="19" t="n"/>
      <c r="K99" s="7">
        <f>IF(J99="","",IF(AND(LOWER(J99)="x",I99="Đủ"),IF(A99="Tháng",'Quy dinh'!$B$8,IF(A99="Tuần",'Quy dinh'!$B$7,0)),0))</f>
        <v/>
      </c>
    </row>
    <row r="100">
      <c r="A100" s="19" t="n"/>
      <c r="B100" s="19" t="n"/>
      <c r="C100" s="19" t="n"/>
      <c r="D100" s="19" t="n"/>
      <c r="E100" s="19" t="n"/>
      <c r="F100" s="19" t="n"/>
      <c r="G100" s="23">
        <f>IF(OR(E100="",F100=""),"",IF(E100=0,0,F100/E100))</f>
        <v/>
      </c>
      <c r="H100" s="19" t="n"/>
      <c r="I100" s="17">
        <f>IF(OR(E100="",H100=""),"",IF(E100&gt;=H100,"Đủ","Không đủ"))</f>
        <v/>
      </c>
      <c r="J100" s="19" t="n"/>
      <c r="K100" s="7">
        <f>IF(J100="","",IF(AND(LOWER(J100)="x",I100="Đủ"),IF(A100="Tháng",'Quy dinh'!$B$8,IF(A100="Tuần",'Quy dinh'!$B$7,0)),0))</f>
        <v/>
      </c>
    </row>
    <row r="101">
      <c r="A101" s="19" t="n"/>
      <c r="B101" s="19" t="n"/>
      <c r="C101" s="19" t="n"/>
      <c r="D101" s="19" t="n"/>
      <c r="E101" s="19" t="n"/>
      <c r="F101" s="19" t="n"/>
      <c r="G101" s="23">
        <f>IF(OR(E101="",F101=""),"",IF(E101=0,0,F101/E101))</f>
        <v/>
      </c>
      <c r="H101" s="19" t="n"/>
      <c r="I101" s="17">
        <f>IF(OR(E101="",H101=""),"",IF(E101&gt;=H101,"Đủ","Không đủ"))</f>
        <v/>
      </c>
      <c r="J101" s="19" t="n"/>
      <c r="K101" s="7">
        <f>IF(J101="","",IF(AND(LOWER(J101)="x",I101="Đủ"),IF(A101="Tháng",'Quy dinh'!$B$8,IF(A101="Tuần",'Quy dinh'!$B$7,0)),0))</f>
        <v/>
      </c>
    </row>
    <row r="102">
      <c r="A102" s="19" t="n"/>
      <c r="B102" s="19" t="n"/>
      <c r="C102" s="19" t="n"/>
      <c r="D102" s="19" t="n"/>
      <c r="E102" s="19" t="n"/>
      <c r="F102" s="19" t="n"/>
      <c r="G102" s="23">
        <f>IF(OR(E102="",F102=""),"",IF(E102=0,0,F102/E102))</f>
        <v/>
      </c>
      <c r="H102" s="19" t="n"/>
      <c r="I102" s="17">
        <f>IF(OR(E102="",H102=""),"",IF(E102&gt;=H102,"Đủ","Không đủ"))</f>
        <v/>
      </c>
      <c r="J102" s="19" t="n"/>
      <c r="K102" s="7">
        <f>IF(J102="","",IF(AND(LOWER(J102)="x",I102="Đủ"),IF(A102="Tháng",'Quy dinh'!$B$8,IF(A102="Tuần",'Quy dinh'!$B$7,0)),0))</f>
        <v/>
      </c>
    </row>
    <row r="103">
      <c r="A103" s="19" t="n"/>
      <c r="B103" s="19" t="n"/>
      <c r="C103" s="19" t="n"/>
      <c r="D103" s="19" t="n"/>
      <c r="E103" s="19" t="n"/>
      <c r="F103" s="19" t="n"/>
      <c r="G103" s="23">
        <f>IF(OR(E103="",F103=""),"",IF(E103=0,0,F103/E103))</f>
        <v/>
      </c>
      <c r="H103" s="19" t="n"/>
      <c r="I103" s="17">
        <f>IF(OR(E103="",H103=""),"",IF(E103&gt;=H103,"Đủ","Không đủ"))</f>
        <v/>
      </c>
      <c r="J103" s="19" t="n"/>
      <c r="K103" s="7">
        <f>IF(J103="","",IF(AND(LOWER(J103)="x",I103="Đủ"),IF(A103="Tháng",'Quy dinh'!$B$8,IF(A103="Tuần",'Quy dinh'!$B$7,0)),0))</f>
        <v/>
      </c>
    </row>
    <row r="104">
      <c r="A104" s="19" t="n"/>
      <c r="B104" s="19" t="n"/>
      <c r="C104" s="19" t="n"/>
      <c r="D104" s="19" t="n"/>
      <c r="E104" s="19" t="n"/>
      <c r="F104" s="19" t="n"/>
      <c r="G104" s="23">
        <f>IF(OR(E104="",F104=""),"",IF(E104=0,0,F104/E104))</f>
        <v/>
      </c>
      <c r="H104" s="19" t="n"/>
      <c r="I104" s="17">
        <f>IF(OR(E104="",H104=""),"",IF(E104&gt;=H104,"Đủ","Không đủ"))</f>
        <v/>
      </c>
      <c r="J104" s="19" t="n"/>
      <c r="K104" s="7">
        <f>IF(J104="","",IF(AND(LOWER(J104)="x",I104="Đủ"),IF(A104="Tháng",'Quy dinh'!$B$8,IF(A104="Tuần",'Quy dinh'!$B$7,0)),0))</f>
        <v/>
      </c>
    </row>
    <row r="105">
      <c r="A105" s="19" t="n"/>
      <c r="B105" s="19" t="n"/>
      <c r="C105" s="19" t="n"/>
      <c r="D105" s="19" t="n"/>
      <c r="E105" s="19" t="n"/>
      <c r="F105" s="19" t="n"/>
      <c r="G105" s="23">
        <f>IF(OR(E105="",F105=""),"",IF(E105=0,0,F105/E105))</f>
        <v/>
      </c>
      <c r="H105" s="19" t="n"/>
      <c r="I105" s="17">
        <f>IF(OR(E105="",H105=""),"",IF(E105&gt;=H105,"Đủ","Không đủ"))</f>
        <v/>
      </c>
      <c r="J105" s="19" t="n"/>
      <c r="K105" s="7">
        <f>IF(J105="","",IF(AND(LOWER(J105)="x",I105="Đủ"),IF(A105="Tháng",'Quy dinh'!$B$8,IF(A105="Tuần",'Quy dinh'!$B$7,0)),0))</f>
        <v/>
      </c>
    </row>
    <row r="106">
      <c r="A106" s="19" t="n"/>
      <c r="B106" s="19" t="n"/>
      <c r="C106" s="19" t="n"/>
      <c r="D106" s="19" t="n"/>
      <c r="E106" s="19" t="n"/>
      <c r="F106" s="19" t="n"/>
      <c r="G106" s="23">
        <f>IF(OR(E106="",F106=""),"",IF(E106=0,0,F106/E106))</f>
        <v/>
      </c>
      <c r="H106" s="19" t="n"/>
      <c r="I106" s="17">
        <f>IF(OR(E106="",H106=""),"",IF(E106&gt;=H106,"Đủ","Không đủ"))</f>
        <v/>
      </c>
      <c r="J106" s="19" t="n"/>
      <c r="K106" s="7">
        <f>IF(J106="","",IF(AND(LOWER(J106)="x",I106="Đủ"),IF(A106="Tháng",'Quy dinh'!$B$8,IF(A106="Tuần",'Quy dinh'!$B$7,0)),0))</f>
        <v/>
      </c>
    </row>
    <row r="107">
      <c r="A107" s="19" t="n"/>
      <c r="B107" s="19" t="n"/>
      <c r="C107" s="19" t="n"/>
      <c r="D107" s="19" t="n"/>
      <c r="E107" s="19" t="n"/>
      <c r="F107" s="19" t="n"/>
      <c r="G107" s="23">
        <f>IF(OR(E107="",F107=""),"",IF(E107=0,0,F107/E107))</f>
        <v/>
      </c>
      <c r="H107" s="19" t="n"/>
      <c r="I107" s="17">
        <f>IF(OR(E107="",H107=""),"",IF(E107&gt;=H107,"Đủ","Không đủ"))</f>
        <v/>
      </c>
      <c r="J107" s="19" t="n"/>
      <c r="K107" s="7">
        <f>IF(J107="","",IF(AND(LOWER(J107)="x",I107="Đủ"),IF(A107="Tháng",'Quy dinh'!$B$8,IF(A107="Tuần",'Quy dinh'!$B$7,0)),0))</f>
        <v/>
      </c>
    </row>
    <row r="108">
      <c r="A108" s="19" t="n"/>
      <c r="B108" s="19" t="n"/>
      <c r="C108" s="19" t="n"/>
      <c r="D108" s="19" t="n"/>
      <c r="E108" s="19" t="n"/>
      <c r="F108" s="19" t="n"/>
      <c r="G108" s="23">
        <f>IF(OR(E108="",F108=""),"",IF(E108=0,0,F108/E108))</f>
        <v/>
      </c>
      <c r="H108" s="19" t="n"/>
      <c r="I108" s="17">
        <f>IF(OR(E108="",H108=""),"",IF(E108&gt;=H108,"Đủ","Không đủ"))</f>
        <v/>
      </c>
      <c r="J108" s="19" t="n"/>
      <c r="K108" s="7">
        <f>IF(J108="","",IF(AND(LOWER(J108)="x",I108="Đủ"),IF(A108="Tháng",'Quy dinh'!$B$8,IF(A108="Tuần",'Quy dinh'!$B$7,0)),0))</f>
        <v/>
      </c>
    </row>
    <row r="109">
      <c r="A109" s="19" t="n"/>
      <c r="B109" s="19" t="n"/>
      <c r="C109" s="19" t="n"/>
      <c r="D109" s="19" t="n"/>
      <c r="E109" s="19" t="n"/>
      <c r="F109" s="19" t="n"/>
      <c r="G109" s="23">
        <f>IF(OR(E109="",F109=""),"",IF(E109=0,0,F109/E109))</f>
        <v/>
      </c>
      <c r="H109" s="19" t="n"/>
      <c r="I109" s="17">
        <f>IF(OR(E109="",H109=""),"",IF(E109&gt;=H109,"Đủ","Không đủ"))</f>
        <v/>
      </c>
      <c r="J109" s="19" t="n"/>
      <c r="K109" s="7">
        <f>IF(J109="","",IF(AND(LOWER(J109)="x",I109="Đủ"),IF(A109="Tháng",'Quy dinh'!$B$8,IF(A109="Tuần",'Quy dinh'!$B$7,0)),0))</f>
        <v/>
      </c>
    </row>
    <row r="110">
      <c r="A110" s="19" t="n"/>
      <c r="B110" s="19" t="n"/>
      <c r="C110" s="19" t="n"/>
      <c r="D110" s="19" t="n"/>
      <c r="E110" s="19" t="n"/>
      <c r="F110" s="19" t="n"/>
      <c r="G110" s="23">
        <f>IF(OR(E110="",F110=""),"",IF(E110=0,0,F110/E110))</f>
        <v/>
      </c>
      <c r="H110" s="19" t="n"/>
      <c r="I110" s="17">
        <f>IF(OR(E110="",H110=""),"",IF(E110&gt;=H110,"Đủ","Không đủ"))</f>
        <v/>
      </c>
      <c r="J110" s="19" t="n"/>
      <c r="K110" s="7">
        <f>IF(J110="","",IF(AND(LOWER(J110)="x",I110="Đủ"),IF(A110="Tháng",'Quy dinh'!$B$8,IF(A110="Tuần",'Quy dinh'!$B$7,0)),0))</f>
        <v/>
      </c>
    </row>
    <row r="111">
      <c r="A111" s="19" t="n"/>
      <c r="B111" s="19" t="n"/>
      <c r="C111" s="19" t="n"/>
      <c r="D111" s="19" t="n"/>
      <c r="E111" s="19" t="n"/>
      <c r="F111" s="19" t="n"/>
      <c r="G111" s="23">
        <f>IF(OR(E111="",F111=""),"",IF(E111=0,0,F111/E111))</f>
        <v/>
      </c>
      <c r="H111" s="19" t="n"/>
      <c r="I111" s="17">
        <f>IF(OR(E111="",H111=""),"",IF(E111&gt;=H111,"Đủ","Không đủ"))</f>
        <v/>
      </c>
      <c r="J111" s="19" t="n"/>
      <c r="K111" s="7">
        <f>IF(J111="","",IF(AND(LOWER(J111)="x",I111="Đủ"),IF(A111="Tháng",'Quy dinh'!$B$8,IF(A111="Tuần",'Quy dinh'!$B$7,0)),0))</f>
        <v/>
      </c>
    </row>
    <row r="112">
      <c r="A112" s="19" t="n"/>
      <c r="B112" s="19" t="n"/>
      <c r="C112" s="19" t="n"/>
      <c r="D112" s="19" t="n"/>
      <c r="E112" s="19" t="n"/>
      <c r="F112" s="19" t="n"/>
      <c r="G112" s="23">
        <f>IF(OR(E112="",F112=""),"",IF(E112=0,0,F112/E112))</f>
        <v/>
      </c>
      <c r="H112" s="19" t="n"/>
      <c r="I112" s="17">
        <f>IF(OR(E112="",H112=""),"",IF(E112&gt;=H112,"Đủ","Không đủ"))</f>
        <v/>
      </c>
      <c r="J112" s="19" t="n"/>
      <c r="K112" s="7">
        <f>IF(J112="","",IF(AND(LOWER(J112)="x",I112="Đủ"),IF(A112="Tháng",'Quy dinh'!$B$8,IF(A112="Tuần",'Quy dinh'!$B$7,0)),0))</f>
        <v/>
      </c>
    </row>
    <row r="113">
      <c r="A113" s="19" t="n"/>
      <c r="B113" s="19" t="n"/>
      <c r="C113" s="19" t="n"/>
      <c r="D113" s="19" t="n"/>
      <c r="E113" s="19" t="n"/>
      <c r="F113" s="19" t="n"/>
      <c r="G113" s="23">
        <f>IF(OR(E113="",F113=""),"",IF(E113=0,0,F113/E113))</f>
        <v/>
      </c>
      <c r="H113" s="19" t="n"/>
      <c r="I113" s="17">
        <f>IF(OR(E113="",H113=""),"",IF(E113&gt;=H113,"Đủ","Không đủ"))</f>
        <v/>
      </c>
      <c r="J113" s="19" t="n"/>
      <c r="K113" s="7">
        <f>IF(J113="","",IF(AND(LOWER(J113)="x",I113="Đủ"),IF(A113="Tháng",'Quy dinh'!$B$8,IF(A113="Tuần",'Quy dinh'!$B$7,0)),0))</f>
        <v/>
      </c>
    </row>
    <row r="114">
      <c r="A114" s="19" t="n"/>
      <c r="B114" s="19" t="n"/>
      <c r="C114" s="19" t="n"/>
      <c r="D114" s="19" t="n"/>
      <c r="E114" s="19" t="n"/>
      <c r="F114" s="19" t="n"/>
      <c r="G114" s="23">
        <f>IF(OR(E114="",F114=""),"",IF(E114=0,0,F114/E114))</f>
        <v/>
      </c>
      <c r="H114" s="19" t="n"/>
      <c r="I114" s="17">
        <f>IF(OR(E114="",H114=""),"",IF(E114&gt;=H114,"Đủ","Không đủ"))</f>
        <v/>
      </c>
      <c r="J114" s="19" t="n"/>
      <c r="K114" s="7">
        <f>IF(J114="","",IF(AND(LOWER(J114)="x",I114="Đủ"),IF(A114="Tháng",'Quy dinh'!$B$8,IF(A114="Tuần",'Quy dinh'!$B$7,0)),0))</f>
        <v/>
      </c>
    </row>
    <row r="115">
      <c r="A115" s="19" t="n"/>
      <c r="B115" s="19" t="n"/>
      <c r="C115" s="19" t="n"/>
      <c r="D115" s="19" t="n"/>
      <c r="E115" s="19" t="n"/>
      <c r="F115" s="19" t="n"/>
      <c r="G115" s="23">
        <f>IF(OR(E115="",F115=""),"",IF(E115=0,0,F115/E115))</f>
        <v/>
      </c>
      <c r="H115" s="19" t="n"/>
      <c r="I115" s="17">
        <f>IF(OR(E115="",H115=""),"",IF(E115&gt;=H115,"Đủ","Không đủ"))</f>
        <v/>
      </c>
      <c r="J115" s="19" t="n"/>
      <c r="K115" s="7">
        <f>IF(J115="","",IF(AND(LOWER(J115)="x",I115="Đủ"),IF(A115="Tháng",'Quy dinh'!$B$8,IF(A115="Tuần",'Quy dinh'!$B$7,0)),0))</f>
        <v/>
      </c>
    </row>
    <row r="116">
      <c r="A116" s="19" t="n"/>
      <c r="B116" s="19" t="n"/>
      <c r="C116" s="19" t="n"/>
      <c r="D116" s="19" t="n"/>
      <c r="E116" s="19" t="n"/>
      <c r="F116" s="19" t="n"/>
      <c r="G116" s="23">
        <f>IF(OR(E116="",F116=""),"",IF(E116=0,0,F116/E116))</f>
        <v/>
      </c>
      <c r="H116" s="19" t="n"/>
      <c r="I116" s="17">
        <f>IF(OR(E116="",H116=""),"",IF(E116&gt;=H116,"Đủ","Không đủ"))</f>
        <v/>
      </c>
      <c r="J116" s="19" t="n"/>
      <c r="K116" s="7">
        <f>IF(J116="","",IF(AND(LOWER(J116)="x",I116="Đủ"),IF(A116="Tháng",'Quy dinh'!$B$8,IF(A116="Tuần",'Quy dinh'!$B$7,0)),0))</f>
        <v/>
      </c>
    </row>
    <row r="117">
      <c r="A117" s="19" t="n"/>
      <c r="B117" s="19" t="n"/>
      <c r="C117" s="19" t="n"/>
      <c r="D117" s="19" t="n"/>
      <c r="E117" s="19" t="n"/>
      <c r="F117" s="19" t="n"/>
      <c r="G117" s="23">
        <f>IF(OR(E117="",F117=""),"",IF(E117=0,0,F117/E117))</f>
        <v/>
      </c>
      <c r="H117" s="19" t="n"/>
      <c r="I117" s="17">
        <f>IF(OR(E117="",H117=""),"",IF(E117&gt;=H117,"Đủ","Không đủ"))</f>
        <v/>
      </c>
      <c r="J117" s="19" t="n"/>
      <c r="K117" s="7">
        <f>IF(J117="","",IF(AND(LOWER(J117)="x",I117="Đủ"),IF(A117="Tháng",'Quy dinh'!$B$8,IF(A117="Tuần",'Quy dinh'!$B$7,0)),0))</f>
        <v/>
      </c>
    </row>
    <row r="118">
      <c r="A118" s="19" t="n"/>
      <c r="B118" s="19" t="n"/>
      <c r="C118" s="19" t="n"/>
      <c r="D118" s="19" t="n"/>
      <c r="E118" s="19" t="n"/>
      <c r="F118" s="19" t="n"/>
      <c r="G118" s="23">
        <f>IF(OR(E118="",F118=""),"",IF(E118=0,0,F118/E118))</f>
        <v/>
      </c>
      <c r="H118" s="19" t="n"/>
      <c r="I118" s="17">
        <f>IF(OR(E118="",H118=""),"",IF(E118&gt;=H118,"Đủ","Không đủ"))</f>
        <v/>
      </c>
      <c r="J118" s="19" t="n"/>
      <c r="K118" s="7">
        <f>IF(J118="","",IF(AND(LOWER(J118)="x",I118="Đủ"),IF(A118="Tháng",'Quy dinh'!$B$8,IF(A118="Tuần",'Quy dinh'!$B$7,0)),0))</f>
        <v/>
      </c>
    </row>
    <row r="119">
      <c r="A119" s="19" t="n"/>
      <c r="B119" s="19" t="n"/>
      <c r="C119" s="19" t="n"/>
      <c r="D119" s="19" t="n"/>
      <c r="E119" s="19" t="n"/>
      <c r="F119" s="19" t="n"/>
      <c r="G119" s="23">
        <f>IF(OR(E119="",F119=""),"",IF(E119=0,0,F119/E119))</f>
        <v/>
      </c>
      <c r="H119" s="19" t="n"/>
      <c r="I119" s="17">
        <f>IF(OR(E119="",H119=""),"",IF(E119&gt;=H119,"Đủ","Không đủ"))</f>
        <v/>
      </c>
      <c r="J119" s="19" t="n"/>
      <c r="K119" s="7">
        <f>IF(J119="","",IF(AND(LOWER(J119)="x",I119="Đủ"),IF(A119="Tháng",'Quy dinh'!$B$8,IF(A119="Tuần",'Quy dinh'!$B$7,0)),0))</f>
        <v/>
      </c>
    </row>
    <row r="120">
      <c r="A120" s="19" t="n"/>
      <c r="B120" s="19" t="n"/>
      <c r="C120" s="19" t="n"/>
      <c r="D120" s="19" t="n"/>
      <c r="E120" s="19" t="n"/>
      <c r="F120" s="19" t="n"/>
      <c r="G120" s="23">
        <f>IF(OR(E120="",F120=""),"",IF(E120=0,0,F120/E120))</f>
        <v/>
      </c>
      <c r="H120" s="19" t="n"/>
      <c r="I120" s="17">
        <f>IF(OR(E120="",H120=""),"",IF(E120&gt;=H120,"Đủ","Không đủ"))</f>
        <v/>
      </c>
      <c r="J120" s="19" t="n"/>
      <c r="K120" s="7">
        <f>IF(J120="","",IF(AND(LOWER(J120)="x",I120="Đủ"),IF(A120="Tháng",'Quy dinh'!$B$8,IF(A120="Tuần",'Quy dinh'!$B$7,0)),0))</f>
        <v/>
      </c>
    </row>
    <row r="121">
      <c r="A121" s="19" t="n"/>
      <c r="B121" s="19" t="n"/>
      <c r="C121" s="19" t="n"/>
      <c r="D121" s="19" t="n"/>
      <c r="E121" s="19" t="n"/>
      <c r="F121" s="19" t="n"/>
      <c r="G121" s="23">
        <f>IF(OR(E121="",F121=""),"",IF(E121=0,0,F121/E121))</f>
        <v/>
      </c>
      <c r="H121" s="19" t="n"/>
      <c r="I121" s="17">
        <f>IF(OR(E121="",H121=""),"",IF(E121&gt;=H121,"Đủ","Không đủ"))</f>
        <v/>
      </c>
      <c r="J121" s="19" t="n"/>
      <c r="K121" s="7">
        <f>IF(J121="","",IF(AND(LOWER(J121)="x",I121="Đủ"),IF(A121="Tháng",'Quy dinh'!$B$8,IF(A121="Tuần",'Quy dinh'!$B$7,0)),0))</f>
        <v/>
      </c>
    </row>
    <row r="122">
      <c r="A122" s="19" t="n"/>
      <c r="B122" s="19" t="n"/>
      <c r="C122" s="19" t="n"/>
      <c r="D122" s="19" t="n"/>
      <c r="E122" s="19" t="n"/>
      <c r="F122" s="19" t="n"/>
      <c r="G122" s="23">
        <f>IF(OR(E122="",F122=""),"",IF(E122=0,0,F122/E122))</f>
        <v/>
      </c>
      <c r="H122" s="19" t="n"/>
      <c r="I122" s="17">
        <f>IF(OR(E122="",H122=""),"",IF(E122&gt;=H122,"Đủ","Không đủ"))</f>
        <v/>
      </c>
      <c r="J122" s="19" t="n"/>
      <c r="K122" s="7">
        <f>IF(J122="","",IF(AND(LOWER(J122)="x",I122="Đủ"),IF(A122="Tháng",'Quy dinh'!$B$8,IF(A122="Tuần",'Quy dinh'!$B$7,0)),0))</f>
        <v/>
      </c>
    </row>
    <row r="123">
      <c r="A123" s="19" t="n"/>
      <c r="B123" s="19" t="n"/>
      <c r="C123" s="19" t="n"/>
      <c r="D123" s="19" t="n"/>
      <c r="E123" s="19" t="n"/>
      <c r="F123" s="19" t="n"/>
      <c r="G123" s="23">
        <f>IF(OR(E123="",F123=""),"",IF(E123=0,0,F123/E123))</f>
        <v/>
      </c>
      <c r="H123" s="19" t="n"/>
      <c r="I123" s="17">
        <f>IF(OR(E123="",H123=""),"",IF(E123&gt;=H123,"Đủ","Không đủ"))</f>
        <v/>
      </c>
      <c r="J123" s="19" t="n"/>
      <c r="K123" s="7">
        <f>IF(J123="","",IF(AND(LOWER(J123)="x",I123="Đủ"),IF(A123="Tháng",'Quy dinh'!$B$8,IF(A123="Tuần",'Quy dinh'!$B$7,0)),0))</f>
        <v/>
      </c>
    </row>
    <row r="124">
      <c r="A124" s="19" t="n"/>
      <c r="B124" s="19" t="n"/>
      <c r="C124" s="19" t="n"/>
      <c r="D124" s="19" t="n"/>
      <c r="E124" s="19" t="n"/>
      <c r="F124" s="19" t="n"/>
      <c r="G124" s="23">
        <f>IF(OR(E124="",F124=""),"",IF(E124=0,0,F124/E124))</f>
        <v/>
      </c>
      <c r="H124" s="19" t="n"/>
      <c r="I124" s="17">
        <f>IF(OR(E124="",H124=""),"",IF(E124&gt;=H124,"Đủ","Không đủ"))</f>
        <v/>
      </c>
      <c r="J124" s="19" t="n"/>
      <c r="K124" s="7">
        <f>IF(J124="","",IF(AND(LOWER(J124)="x",I124="Đủ"),IF(A124="Tháng",'Quy dinh'!$B$8,IF(A124="Tuần",'Quy dinh'!$B$7,0)),0))</f>
        <v/>
      </c>
    </row>
    <row r="125">
      <c r="A125" s="19" t="n"/>
      <c r="B125" s="19" t="n"/>
      <c r="C125" s="19" t="n"/>
      <c r="D125" s="19" t="n"/>
      <c r="E125" s="19" t="n"/>
      <c r="F125" s="19" t="n"/>
      <c r="G125" s="23">
        <f>IF(OR(E125="",F125=""),"",IF(E125=0,0,F125/E125))</f>
        <v/>
      </c>
      <c r="H125" s="19" t="n"/>
      <c r="I125" s="17">
        <f>IF(OR(E125="",H125=""),"",IF(E125&gt;=H125,"Đủ","Không đủ"))</f>
        <v/>
      </c>
      <c r="J125" s="19" t="n"/>
      <c r="K125" s="7">
        <f>IF(J125="","",IF(AND(LOWER(J125)="x",I125="Đủ"),IF(A125="Tháng",'Quy dinh'!$B$8,IF(A125="Tuần",'Quy dinh'!$B$7,0)),0))</f>
        <v/>
      </c>
    </row>
    <row r="126">
      <c r="A126" s="19" t="n"/>
      <c r="B126" s="19" t="n"/>
      <c r="C126" s="19" t="n"/>
      <c r="D126" s="19" t="n"/>
      <c r="E126" s="19" t="n"/>
      <c r="F126" s="19" t="n"/>
      <c r="G126" s="23">
        <f>IF(OR(E126="",F126=""),"",IF(E126=0,0,F126/E126))</f>
        <v/>
      </c>
      <c r="H126" s="19" t="n"/>
      <c r="I126" s="17">
        <f>IF(OR(E126="",H126=""),"",IF(E126&gt;=H126,"Đủ","Không đủ"))</f>
        <v/>
      </c>
      <c r="J126" s="19" t="n"/>
      <c r="K126" s="7">
        <f>IF(J126="","",IF(AND(LOWER(J126)="x",I126="Đủ"),IF(A126="Tháng",'Quy dinh'!$B$8,IF(A126="Tuần",'Quy dinh'!$B$7,0)),0))</f>
        <v/>
      </c>
    </row>
    <row r="127">
      <c r="A127" s="19" t="n"/>
      <c r="B127" s="19" t="n"/>
      <c r="C127" s="19" t="n"/>
      <c r="D127" s="19" t="n"/>
      <c r="E127" s="19" t="n"/>
      <c r="F127" s="19" t="n"/>
      <c r="G127" s="23">
        <f>IF(OR(E127="",F127=""),"",IF(E127=0,0,F127/E127))</f>
        <v/>
      </c>
      <c r="H127" s="19" t="n"/>
      <c r="I127" s="17">
        <f>IF(OR(E127="",H127=""),"",IF(E127&gt;=H127,"Đủ","Không đủ"))</f>
        <v/>
      </c>
      <c r="J127" s="19" t="n"/>
      <c r="K127" s="7">
        <f>IF(J127="","",IF(AND(LOWER(J127)="x",I127="Đủ"),IF(A127="Tháng",'Quy dinh'!$B$8,IF(A127="Tuần",'Quy dinh'!$B$7,0)),0))</f>
        <v/>
      </c>
    </row>
    <row r="128">
      <c r="A128" s="19" t="n"/>
      <c r="B128" s="19" t="n"/>
      <c r="C128" s="19" t="n"/>
      <c r="D128" s="19" t="n"/>
      <c r="E128" s="19" t="n"/>
      <c r="F128" s="19" t="n"/>
      <c r="G128" s="23">
        <f>IF(OR(E128="",F128=""),"",IF(E128=0,0,F128/E128))</f>
        <v/>
      </c>
      <c r="H128" s="19" t="n"/>
      <c r="I128" s="17">
        <f>IF(OR(E128="",H128=""),"",IF(E128&gt;=H128,"Đủ","Không đủ"))</f>
        <v/>
      </c>
      <c r="J128" s="19" t="n"/>
      <c r="K128" s="7">
        <f>IF(J128="","",IF(AND(LOWER(J128)="x",I128="Đủ"),IF(A128="Tháng",'Quy dinh'!$B$8,IF(A128="Tuần",'Quy dinh'!$B$7,0)),0))</f>
        <v/>
      </c>
    </row>
    <row r="129">
      <c r="A129" s="19" t="n"/>
      <c r="B129" s="19" t="n"/>
      <c r="C129" s="19" t="n"/>
      <c r="D129" s="19" t="n"/>
      <c r="E129" s="19" t="n"/>
      <c r="F129" s="19" t="n"/>
      <c r="G129" s="23">
        <f>IF(OR(E129="",F129=""),"",IF(E129=0,0,F129/E129))</f>
        <v/>
      </c>
      <c r="H129" s="19" t="n"/>
      <c r="I129" s="17">
        <f>IF(OR(E129="",H129=""),"",IF(E129&gt;=H129,"Đủ","Không đủ"))</f>
        <v/>
      </c>
      <c r="J129" s="19" t="n"/>
      <c r="K129" s="7">
        <f>IF(J129="","",IF(AND(LOWER(J129)="x",I129="Đủ"),IF(A129="Tháng",'Quy dinh'!$B$8,IF(A129="Tuần",'Quy dinh'!$B$7,0)),0))</f>
        <v/>
      </c>
    </row>
    <row r="130">
      <c r="A130" s="19" t="n"/>
      <c r="B130" s="19" t="n"/>
      <c r="C130" s="19" t="n"/>
      <c r="D130" s="19" t="n"/>
      <c r="E130" s="19" t="n"/>
      <c r="F130" s="19" t="n"/>
      <c r="G130" s="23">
        <f>IF(OR(E130="",F130=""),"",IF(E130=0,0,F130/E130))</f>
        <v/>
      </c>
      <c r="H130" s="19" t="n"/>
      <c r="I130" s="17">
        <f>IF(OR(E130="",H130=""),"",IF(E130&gt;=H130,"Đủ","Không đủ"))</f>
        <v/>
      </c>
      <c r="J130" s="19" t="n"/>
      <c r="K130" s="7">
        <f>IF(J130="","",IF(AND(LOWER(J130)="x",I130="Đủ"),IF(A130="Tháng",'Quy dinh'!$B$8,IF(A130="Tuần",'Quy dinh'!$B$7,0)),0))</f>
        <v/>
      </c>
    </row>
    <row r="131">
      <c r="A131" s="19" t="n"/>
      <c r="B131" s="19" t="n"/>
      <c r="C131" s="19" t="n"/>
      <c r="D131" s="19" t="n"/>
      <c r="E131" s="19" t="n"/>
      <c r="F131" s="19" t="n"/>
      <c r="G131" s="23">
        <f>IF(OR(E131="",F131=""),"",IF(E131=0,0,F131/E131))</f>
        <v/>
      </c>
      <c r="H131" s="19" t="n"/>
      <c r="I131" s="17">
        <f>IF(OR(E131="",H131=""),"",IF(E131&gt;=H131,"Đủ","Không đủ"))</f>
        <v/>
      </c>
      <c r="J131" s="19" t="n"/>
      <c r="K131" s="7">
        <f>IF(J131="","",IF(AND(LOWER(J131)="x",I131="Đủ"),IF(A131="Tháng",'Quy dinh'!$B$8,IF(A131="Tuần",'Quy dinh'!$B$7,0)),0))</f>
        <v/>
      </c>
    </row>
    <row r="132">
      <c r="A132" s="19" t="n"/>
      <c r="B132" s="19" t="n"/>
      <c r="C132" s="19" t="n"/>
      <c r="D132" s="19" t="n"/>
      <c r="E132" s="19" t="n"/>
      <c r="F132" s="19" t="n"/>
      <c r="G132" s="23">
        <f>IF(OR(E132="",F132=""),"",IF(E132=0,0,F132/E132))</f>
        <v/>
      </c>
      <c r="H132" s="19" t="n"/>
      <c r="I132" s="17">
        <f>IF(OR(E132="",H132=""),"",IF(E132&gt;=H132,"Đủ","Không đủ"))</f>
        <v/>
      </c>
      <c r="J132" s="19" t="n"/>
      <c r="K132" s="7">
        <f>IF(J132="","",IF(AND(LOWER(J132)="x",I132="Đủ"),IF(A132="Tháng",'Quy dinh'!$B$8,IF(A132="Tuần",'Quy dinh'!$B$7,0)),0))</f>
        <v/>
      </c>
    </row>
    <row r="133">
      <c r="A133" s="19" t="n"/>
      <c r="B133" s="19" t="n"/>
      <c r="C133" s="19" t="n"/>
      <c r="D133" s="19" t="n"/>
      <c r="E133" s="19" t="n"/>
      <c r="F133" s="19" t="n"/>
      <c r="G133" s="23">
        <f>IF(OR(E133="",F133=""),"",IF(E133=0,0,F133/E133))</f>
        <v/>
      </c>
      <c r="H133" s="19" t="n"/>
      <c r="I133" s="17">
        <f>IF(OR(E133="",H133=""),"",IF(E133&gt;=H133,"Đủ","Không đủ"))</f>
        <v/>
      </c>
      <c r="J133" s="19" t="n"/>
      <c r="K133" s="7">
        <f>IF(J133="","",IF(AND(LOWER(J133)="x",I133="Đủ"),IF(A133="Tháng",'Quy dinh'!$B$8,IF(A133="Tuần",'Quy dinh'!$B$7,0)),0))</f>
        <v/>
      </c>
    </row>
    <row r="134">
      <c r="A134" s="19" t="n"/>
      <c r="B134" s="19" t="n"/>
      <c r="C134" s="19" t="n"/>
      <c r="D134" s="19" t="n"/>
      <c r="E134" s="19" t="n"/>
      <c r="F134" s="19" t="n"/>
      <c r="G134" s="23">
        <f>IF(OR(E134="",F134=""),"",IF(E134=0,0,F134/E134))</f>
        <v/>
      </c>
      <c r="H134" s="19" t="n"/>
      <c r="I134" s="17">
        <f>IF(OR(E134="",H134=""),"",IF(E134&gt;=H134,"Đủ","Không đủ"))</f>
        <v/>
      </c>
      <c r="J134" s="19" t="n"/>
      <c r="K134" s="7">
        <f>IF(J134="","",IF(AND(LOWER(J134)="x",I134="Đủ"),IF(A134="Tháng",'Quy dinh'!$B$8,IF(A134="Tuần",'Quy dinh'!$B$7,0)),0))</f>
        <v/>
      </c>
    </row>
    <row r="135">
      <c r="A135" s="19" t="n"/>
      <c r="B135" s="19" t="n"/>
      <c r="C135" s="19" t="n"/>
      <c r="D135" s="19" t="n"/>
      <c r="E135" s="19" t="n"/>
      <c r="F135" s="19" t="n"/>
      <c r="G135" s="23">
        <f>IF(OR(E135="",F135=""),"",IF(E135=0,0,F135/E135))</f>
        <v/>
      </c>
      <c r="H135" s="19" t="n"/>
      <c r="I135" s="17">
        <f>IF(OR(E135="",H135=""),"",IF(E135&gt;=H135,"Đủ","Không đủ"))</f>
        <v/>
      </c>
      <c r="J135" s="19" t="n"/>
      <c r="K135" s="7">
        <f>IF(J135="","",IF(AND(LOWER(J135)="x",I135="Đủ"),IF(A135="Tháng",'Quy dinh'!$B$8,IF(A135="Tuần",'Quy dinh'!$B$7,0)),0))</f>
        <v/>
      </c>
    </row>
    <row r="136">
      <c r="A136" s="19" t="n"/>
      <c r="B136" s="19" t="n"/>
      <c r="C136" s="19" t="n"/>
      <c r="D136" s="19" t="n"/>
      <c r="E136" s="19" t="n"/>
      <c r="F136" s="19" t="n"/>
      <c r="G136" s="23">
        <f>IF(OR(E136="",F136=""),"",IF(E136=0,0,F136/E136))</f>
        <v/>
      </c>
      <c r="H136" s="19" t="n"/>
      <c r="I136" s="17">
        <f>IF(OR(E136="",H136=""),"",IF(E136&gt;=H136,"Đủ","Không đủ"))</f>
        <v/>
      </c>
      <c r="J136" s="19" t="n"/>
      <c r="K136" s="7">
        <f>IF(J136="","",IF(AND(LOWER(J136)="x",I136="Đủ"),IF(A136="Tháng",'Quy dinh'!$B$8,IF(A136="Tuần",'Quy dinh'!$B$7,0)),0))</f>
        <v/>
      </c>
    </row>
    <row r="137">
      <c r="A137" s="19" t="n"/>
      <c r="B137" s="19" t="n"/>
      <c r="C137" s="19" t="n"/>
      <c r="D137" s="19" t="n"/>
      <c r="E137" s="19" t="n"/>
      <c r="F137" s="19" t="n"/>
      <c r="G137" s="23">
        <f>IF(OR(E137="",F137=""),"",IF(E137=0,0,F137/E137))</f>
        <v/>
      </c>
      <c r="H137" s="19" t="n"/>
      <c r="I137" s="17">
        <f>IF(OR(E137="",H137=""),"",IF(E137&gt;=H137,"Đủ","Không đủ"))</f>
        <v/>
      </c>
      <c r="J137" s="19" t="n"/>
      <c r="K137" s="7">
        <f>IF(J137="","",IF(AND(LOWER(J137)="x",I137="Đủ"),IF(A137="Tháng",'Quy dinh'!$B$8,IF(A137="Tuần",'Quy dinh'!$B$7,0)),0))</f>
        <v/>
      </c>
    </row>
    <row r="138">
      <c r="A138" s="19" t="n"/>
      <c r="B138" s="19" t="n"/>
      <c r="C138" s="19" t="n"/>
      <c r="D138" s="19" t="n"/>
      <c r="E138" s="19" t="n"/>
      <c r="F138" s="19" t="n"/>
      <c r="G138" s="23">
        <f>IF(OR(E138="",F138=""),"",IF(E138=0,0,F138/E138))</f>
        <v/>
      </c>
      <c r="H138" s="19" t="n"/>
      <c r="I138" s="17">
        <f>IF(OR(E138="",H138=""),"",IF(E138&gt;=H138,"Đủ","Không đủ"))</f>
        <v/>
      </c>
      <c r="J138" s="19" t="n"/>
      <c r="K138" s="7">
        <f>IF(J138="","",IF(AND(LOWER(J138)="x",I138="Đủ"),IF(A138="Tháng",'Quy dinh'!$B$8,IF(A138="Tuần",'Quy dinh'!$B$7,0)),0))</f>
        <v/>
      </c>
    </row>
    <row r="139">
      <c r="A139" s="19" t="n"/>
      <c r="B139" s="19" t="n"/>
      <c r="C139" s="19" t="n"/>
      <c r="D139" s="19" t="n"/>
      <c r="E139" s="19" t="n"/>
      <c r="F139" s="19" t="n"/>
      <c r="G139" s="23">
        <f>IF(OR(E139="",F139=""),"",IF(E139=0,0,F139/E139))</f>
        <v/>
      </c>
      <c r="H139" s="19" t="n"/>
      <c r="I139" s="17">
        <f>IF(OR(E139="",H139=""),"",IF(E139&gt;=H139,"Đủ","Không đủ"))</f>
        <v/>
      </c>
      <c r="J139" s="19" t="n"/>
      <c r="K139" s="7">
        <f>IF(J139="","",IF(AND(LOWER(J139)="x",I139="Đủ"),IF(A139="Tháng",'Quy dinh'!$B$8,IF(A139="Tuần",'Quy dinh'!$B$7,0)),0))</f>
        <v/>
      </c>
    </row>
    <row r="140">
      <c r="A140" s="19" t="n"/>
      <c r="B140" s="19" t="n"/>
      <c r="C140" s="19" t="n"/>
      <c r="D140" s="19" t="n"/>
      <c r="E140" s="19" t="n"/>
      <c r="F140" s="19" t="n"/>
      <c r="G140" s="23">
        <f>IF(OR(E140="",F140=""),"",IF(E140=0,0,F140/E140))</f>
        <v/>
      </c>
      <c r="H140" s="19" t="n"/>
      <c r="I140" s="17">
        <f>IF(OR(E140="",H140=""),"",IF(E140&gt;=H140,"Đủ","Không đủ"))</f>
        <v/>
      </c>
      <c r="J140" s="19" t="n"/>
      <c r="K140" s="7">
        <f>IF(J140="","",IF(AND(LOWER(J140)="x",I140="Đủ"),IF(A140="Tháng",'Quy dinh'!$B$8,IF(A140="Tuần",'Quy dinh'!$B$7,0)),0))</f>
        <v/>
      </c>
    </row>
    <row r="141">
      <c r="A141" s="19" t="n"/>
      <c r="B141" s="19" t="n"/>
      <c r="C141" s="19" t="n"/>
      <c r="D141" s="19" t="n"/>
      <c r="E141" s="19" t="n"/>
      <c r="F141" s="19" t="n"/>
      <c r="G141" s="23">
        <f>IF(OR(E141="",F141=""),"",IF(E141=0,0,F141/E141))</f>
        <v/>
      </c>
      <c r="H141" s="19" t="n"/>
      <c r="I141" s="17">
        <f>IF(OR(E141="",H141=""),"",IF(E141&gt;=H141,"Đủ","Không đủ"))</f>
        <v/>
      </c>
      <c r="J141" s="19" t="n"/>
      <c r="K141" s="7">
        <f>IF(J141="","",IF(AND(LOWER(J141)="x",I141="Đủ"),IF(A141="Tháng",'Quy dinh'!$B$8,IF(A141="Tuần",'Quy dinh'!$B$7,0)),0))</f>
        <v/>
      </c>
    </row>
    <row r="142">
      <c r="A142" s="19" t="n"/>
      <c r="B142" s="19" t="n"/>
      <c r="C142" s="19" t="n"/>
      <c r="D142" s="19" t="n"/>
      <c r="E142" s="19" t="n"/>
      <c r="F142" s="19" t="n"/>
      <c r="G142" s="23">
        <f>IF(OR(E142="",F142=""),"",IF(E142=0,0,F142/E142))</f>
        <v/>
      </c>
      <c r="H142" s="19" t="n"/>
      <c r="I142" s="17">
        <f>IF(OR(E142="",H142=""),"",IF(E142&gt;=H142,"Đủ","Không đủ"))</f>
        <v/>
      </c>
      <c r="J142" s="19" t="n"/>
      <c r="K142" s="7">
        <f>IF(J142="","",IF(AND(LOWER(J142)="x",I142="Đủ"),IF(A142="Tháng",'Quy dinh'!$B$8,IF(A142="Tuần",'Quy dinh'!$B$7,0)),0))</f>
        <v/>
      </c>
    </row>
    <row r="143">
      <c r="A143" s="19" t="n"/>
      <c r="B143" s="19" t="n"/>
      <c r="C143" s="19" t="n"/>
      <c r="D143" s="19" t="n"/>
      <c r="E143" s="19" t="n"/>
      <c r="F143" s="19" t="n"/>
      <c r="G143" s="23">
        <f>IF(OR(E143="",F143=""),"",IF(E143=0,0,F143/E143))</f>
        <v/>
      </c>
      <c r="H143" s="19" t="n"/>
      <c r="I143" s="17">
        <f>IF(OR(E143="",H143=""),"",IF(E143&gt;=H143,"Đủ","Không đủ"))</f>
        <v/>
      </c>
      <c r="J143" s="19" t="n"/>
      <c r="K143" s="7">
        <f>IF(J143="","",IF(AND(LOWER(J143)="x",I143="Đủ"),IF(A143="Tháng",'Quy dinh'!$B$8,IF(A143="Tuần",'Quy dinh'!$B$7,0)),0))</f>
        <v/>
      </c>
    </row>
    <row r="144">
      <c r="A144" s="19" t="n"/>
      <c r="B144" s="19" t="n"/>
      <c r="C144" s="19" t="n"/>
      <c r="D144" s="19" t="n"/>
      <c r="E144" s="19" t="n"/>
      <c r="F144" s="19" t="n"/>
      <c r="G144" s="23">
        <f>IF(OR(E144="",F144=""),"",IF(E144=0,0,F144/E144))</f>
        <v/>
      </c>
      <c r="H144" s="19" t="n"/>
      <c r="I144" s="17">
        <f>IF(OR(E144="",H144=""),"",IF(E144&gt;=H144,"Đủ","Không đủ"))</f>
        <v/>
      </c>
      <c r="J144" s="19" t="n"/>
      <c r="K144" s="7">
        <f>IF(J144="","",IF(AND(LOWER(J144)="x",I144="Đủ"),IF(A144="Tháng",'Quy dinh'!$B$8,IF(A144="Tuần",'Quy dinh'!$B$7,0)),0))</f>
        <v/>
      </c>
    </row>
    <row r="145">
      <c r="A145" s="19" t="n"/>
      <c r="B145" s="19" t="n"/>
      <c r="C145" s="19" t="n"/>
      <c r="D145" s="19" t="n"/>
      <c r="E145" s="19" t="n"/>
      <c r="F145" s="19" t="n"/>
      <c r="G145" s="23">
        <f>IF(OR(E145="",F145=""),"",IF(E145=0,0,F145/E145))</f>
        <v/>
      </c>
      <c r="H145" s="19" t="n"/>
      <c r="I145" s="17">
        <f>IF(OR(E145="",H145=""),"",IF(E145&gt;=H145,"Đủ","Không đủ"))</f>
        <v/>
      </c>
      <c r="J145" s="19" t="n"/>
      <c r="K145" s="7">
        <f>IF(J145="","",IF(AND(LOWER(J145)="x",I145="Đủ"),IF(A145="Tháng",'Quy dinh'!$B$8,IF(A145="Tuần",'Quy dinh'!$B$7,0)),0))</f>
        <v/>
      </c>
    </row>
    <row r="146">
      <c r="A146" s="19" t="n"/>
      <c r="B146" s="19" t="n"/>
      <c r="C146" s="19" t="n"/>
      <c r="D146" s="19" t="n"/>
      <c r="E146" s="19" t="n"/>
      <c r="F146" s="19" t="n"/>
      <c r="G146" s="23">
        <f>IF(OR(E146="",F146=""),"",IF(E146=0,0,F146/E146))</f>
        <v/>
      </c>
      <c r="H146" s="19" t="n"/>
      <c r="I146" s="17">
        <f>IF(OR(E146="",H146=""),"",IF(E146&gt;=H146,"Đủ","Không đủ"))</f>
        <v/>
      </c>
      <c r="J146" s="19" t="n"/>
      <c r="K146" s="7">
        <f>IF(J146="","",IF(AND(LOWER(J146)="x",I146="Đủ"),IF(A146="Tháng",'Quy dinh'!$B$8,IF(A146="Tuần",'Quy dinh'!$B$7,0)),0))</f>
        <v/>
      </c>
    </row>
    <row r="147">
      <c r="A147" s="19" t="n"/>
      <c r="B147" s="19" t="n"/>
      <c r="C147" s="19" t="n"/>
      <c r="D147" s="19" t="n"/>
      <c r="E147" s="19" t="n"/>
      <c r="F147" s="19" t="n"/>
      <c r="G147" s="23">
        <f>IF(OR(E147="",F147=""),"",IF(E147=0,0,F147/E147))</f>
        <v/>
      </c>
      <c r="H147" s="19" t="n"/>
      <c r="I147" s="17">
        <f>IF(OR(E147="",H147=""),"",IF(E147&gt;=H147,"Đủ","Không đủ"))</f>
        <v/>
      </c>
      <c r="J147" s="19" t="n"/>
      <c r="K147" s="7">
        <f>IF(J147="","",IF(AND(LOWER(J147)="x",I147="Đủ"),IF(A147="Tháng",'Quy dinh'!$B$8,IF(A147="Tuần",'Quy dinh'!$B$7,0)),0))</f>
        <v/>
      </c>
    </row>
    <row r="148">
      <c r="A148" s="19" t="n"/>
      <c r="B148" s="19" t="n"/>
      <c r="C148" s="19" t="n"/>
      <c r="D148" s="19" t="n"/>
      <c r="E148" s="19" t="n"/>
      <c r="F148" s="19" t="n"/>
      <c r="G148" s="23">
        <f>IF(OR(E148="",F148=""),"",IF(E148=0,0,F148/E148))</f>
        <v/>
      </c>
      <c r="H148" s="19" t="n"/>
      <c r="I148" s="17">
        <f>IF(OR(E148="",H148=""),"",IF(E148&gt;=H148,"Đủ","Không đủ"))</f>
        <v/>
      </c>
      <c r="J148" s="19" t="n"/>
      <c r="K148" s="7">
        <f>IF(J148="","",IF(AND(LOWER(J148)="x",I148="Đủ"),IF(A148="Tháng",'Quy dinh'!$B$8,IF(A148="Tuần",'Quy dinh'!$B$7,0)),0))</f>
        <v/>
      </c>
    </row>
    <row r="149">
      <c r="A149" s="19" t="n"/>
      <c r="B149" s="19" t="n"/>
      <c r="C149" s="19" t="n"/>
      <c r="D149" s="19" t="n"/>
      <c r="E149" s="19" t="n"/>
      <c r="F149" s="19" t="n"/>
      <c r="G149" s="23">
        <f>IF(OR(E149="",F149=""),"",IF(E149=0,0,F149/E149))</f>
        <v/>
      </c>
      <c r="H149" s="19" t="n"/>
      <c r="I149" s="17">
        <f>IF(OR(E149="",H149=""),"",IF(E149&gt;=H149,"Đủ","Không đủ"))</f>
        <v/>
      </c>
      <c r="J149" s="19" t="n"/>
      <c r="K149" s="7">
        <f>IF(J149="","",IF(AND(LOWER(J149)="x",I149="Đủ"),IF(A149="Tháng",'Quy dinh'!$B$8,IF(A149="Tuần",'Quy dinh'!$B$7,0)),0))</f>
        <v/>
      </c>
    </row>
    <row r="150">
      <c r="A150" s="19" t="n"/>
      <c r="B150" s="19" t="n"/>
      <c r="C150" s="19" t="n"/>
      <c r="D150" s="19" t="n"/>
      <c r="E150" s="19" t="n"/>
      <c r="F150" s="19" t="n"/>
      <c r="G150" s="23">
        <f>IF(OR(E150="",F150=""),"",IF(E150=0,0,F150/E150))</f>
        <v/>
      </c>
      <c r="H150" s="19" t="n"/>
      <c r="I150" s="17">
        <f>IF(OR(E150="",H150=""),"",IF(E150&gt;=H150,"Đủ","Không đủ"))</f>
        <v/>
      </c>
      <c r="J150" s="19" t="n"/>
      <c r="K150" s="7">
        <f>IF(J150="","",IF(AND(LOWER(J150)="x",I150="Đủ"),IF(A150="Tháng",'Quy dinh'!$B$8,IF(A150="Tuần",'Quy dinh'!$B$7,0)),0))</f>
        <v/>
      </c>
    </row>
    <row r="151">
      <c r="A151" s="19" t="n"/>
      <c r="B151" s="19" t="n"/>
      <c r="C151" s="19" t="n"/>
      <c r="D151" s="19" t="n"/>
      <c r="E151" s="19" t="n"/>
      <c r="F151" s="19" t="n"/>
      <c r="G151" s="23">
        <f>IF(OR(E151="",F151=""),"",IF(E151=0,0,F151/E151))</f>
        <v/>
      </c>
      <c r="H151" s="19" t="n"/>
      <c r="I151" s="17">
        <f>IF(OR(E151="",H151=""),"",IF(E151&gt;=H151,"Đủ","Không đủ"))</f>
        <v/>
      </c>
      <c r="J151" s="19" t="n"/>
      <c r="K151" s="7">
        <f>IF(J151="","",IF(AND(LOWER(J151)="x",I151="Đủ"),IF(A151="Tháng",'Quy dinh'!$B$8,IF(A151="Tuần",'Quy dinh'!$B$7,0)),0))</f>
        <v/>
      </c>
    </row>
    <row r="152">
      <c r="A152" s="19" t="n"/>
      <c r="B152" s="19" t="n"/>
      <c r="C152" s="19" t="n"/>
      <c r="D152" s="19" t="n"/>
      <c r="E152" s="19" t="n"/>
      <c r="F152" s="19" t="n"/>
      <c r="G152" s="23">
        <f>IF(OR(E152="",F152=""),"",IF(E152=0,0,F152/E152))</f>
        <v/>
      </c>
      <c r="H152" s="19" t="n"/>
      <c r="I152" s="17">
        <f>IF(OR(E152="",H152=""),"",IF(E152&gt;=H152,"Đủ","Không đủ"))</f>
        <v/>
      </c>
      <c r="J152" s="19" t="n"/>
      <c r="K152" s="7">
        <f>IF(J152="","",IF(AND(LOWER(J152)="x",I152="Đủ"),IF(A152="Tháng",'Quy dinh'!$B$8,IF(A152="Tuần",'Quy dinh'!$B$7,0)),0))</f>
        <v/>
      </c>
    </row>
    <row r="153">
      <c r="A153" s="19" t="n"/>
      <c r="B153" s="19" t="n"/>
      <c r="C153" s="19" t="n"/>
      <c r="D153" s="19" t="n"/>
      <c r="E153" s="19" t="n"/>
      <c r="F153" s="19" t="n"/>
      <c r="G153" s="23">
        <f>IF(OR(E153="",F153=""),"",IF(E153=0,0,F153/E153))</f>
        <v/>
      </c>
      <c r="H153" s="19" t="n"/>
      <c r="I153" s="17">
        <f>IF(OR(E153="",H153=""),"",IF(E153&gt;=H153,"Đủ","Không đủ"))</f>
        <v/>
      </c>
      <c r="J153" s="19" t="n"/>
      <c r="K153" s="7">
        <f>IF(J153="","",IF(AND(LOWER(J153)="x",I153="Đủ"),IF(A153="Tháng",'Quy dinh'!$B$8,IF(A153="Tuần",'Quy dinh'!$B$7,0)),0))</f>
        <v/>
      </c>
    </row>
    <row r="154">
      <c r="A154" s="19" t="n"/>
      <c r="B154" s="19" t="n"/>
      <c r="C154" s="19" t="n"/>
      <c r="D154" s="19" t="n"/>
      <c r="E154" s="19" t="n"/>
      <c r="F154" s="19" t="n"/>
      <c r="G154" s="23">
        <f>IF(OR(E154="",F154=""),"",IF(E154=0,0,F154/E154))</f>
        <v/>
      </c>
      <c r="H154" s="19" t="n"/>
      <c r="I154" s="17">
        <f>IF(OR(E154="",H154=""),"",IF(E154&gt;=H154,"Đủ","Không đủ"))</f>
        <v/>
      </c>
      <c r="J154" s="19" t="n"/>
      <c r="K154" s="7">
        <f>IF(J154="","",IF(AND(LOWER(J154)="x",I154="Đủ"),IF(A154="Tháng",'Quy dinh'!$B$8,IF(A154="Tuần",'Quy dinh'!$B$7,0)),0))</f>
        <v/>
      </c>
    </row>
    <row r="155">
      <c r="A155" s="19" t="n"/>
      <c r="B155" s="19" t="n"/>
      <c r="C155" s="19" t="n"/>
      <c r="D155" s="19" t="n"/>
      <c r="E155" s="19" t="n"/>
      <c r="F155" s="19" t="n"/>
      <c r="G155" s="23">
        <f>IF(OR(E155="",F155=""),"",IF(E155=0,0,F155/E155))</f>
        <v/>
      </c>
      <c r="H155" s="19" t="n"/>
      <c r="I155" s="17">
        <f>IF(OR(E155="",H155=""),"",IF(E155&gt;=H155,"Đủ","Không đủ"))</f>
        <v/>
      </c>
      <c r="J155" s="19" t="n"/>
      <c r="K155" s="7">
        <f>IF(J155="","",IF(AND(LOWER(J155)="x",I155="Đủ"),IF(A155="Tháng",'Quy dinh'!$B$8,IF(A155="Tuần",'Quy dinh'!$B$7,0)),0))</f>
        <v/>
      </c>
    </row>
    <row r="156">
      <c r="A156" s="19" t="n"/>
      <c r="B156" s="19" t="n"/>
      <c r="C156" s="19" t="n"/>
      <c r="D156" s="19" t="n"/>
      <c r="E156" s="19" t="n"/>
      <c r="F156" s="19" t="n"/>
      <c r="G156" s="23">
        <f>IF(OR(E156="",F156=""),"",IF(E156=0,0,F156/E156))</f>
        <v/>
      </c>
      <c r="H156" s="19" t="n"/>
      <c r="I156" s="17">
        <f>IF(OR(E156="",H156=""),"",IF(E156&gt;=H156,"Đủ","Không đủ"))</f>
        <v/>
      </c>
      <c r="J156" s="19" t="n"/>
      <c r="K156" s="7">
        <f>IF(J156="","",IF(AND(LOWER(J156)="x",I156="Đủ"),IF(A156="Tháng",'Quy dinh'!$B$8,IF(A156="Tuần",'Quy dinh'!$B$7,0)),0))</f>
        <v/>
      </c>
    </row>
    <row r="157">
      <c r="A157" s="19" t="n"/>
      <c r="B157" s="19" t="n"/>
      <c r="C157" s="19" t="n"/>
      <c r="D157" s="19" t="n"/>
      <c r="E157" s="19" t="n"/>
      <c r="F157" s="19" t="n"/>
      <c r="G157" s="23">
        <f>IF(OR(E157="",F157=""),"",IF(E157=0,0,F157/E157))</f>
        <v/>
      </c>
      <c r="H157" s="19" t="n"/>
      <c r="I157" s="17">
        <f>IF(OR(E157="",H157=""),"",IF(E157&gt;=H157,"Đủ","Không đủ"))</f>
        <v/>
      </c>
      <c r="J157" s="19" t="n"/>
      <c r="K157" s="7">
        <f>IF(J157="","",IF(AND(LOWER(J157)="x",I157="Đủ"),IF(A157="Tháng",'Quy dinh'!$B$8,IF(A157="Tuần",'Quy dinh'!$B$7,0)),0))</f>
        <v/>
      </c>
    </row>
    <row r="158">
      <c r="A158" s="19" t="n"/>
      <c r="B158" s="19" t="n"/>
      <c r="C158" s="19" t="n"/>
      <c r="D158" s="19" t="n"/>
      <c r="E158" s="19" t="n"/>
      <c r="F158" s="19" t="n"/>
      <c r="G158" s="23">
        <f>IF(OR(E158="",F158=""),"",IF(E158=0,0,F158/E158))</f>
        <v/>
      </c>
      <c r="H158" s="19" t="n"/>
      <c r="I158" s="17">
        <f>IF(OR(E158="",H158=""),"",IF(E158&gt;=H158,"Đủ","Không đủ"))</f>
        <v/>
      </c>
      <c r="J158" s="19" t="n"/>
      <c r="K158" s="7">
        <f>IF(J158="","",IF(AND(LOWER(J158)="x",I158="Đủ"),IF(A158="Tháng",'Quy dinh'!$B$8,IF(A158="Tuần",'Quy dinh'!$B$7,0)),0))</f>
        <v/>
      </c>
    </row>
    <row r="159">
      <c r="A159" s="19" t="n"/>
      <c r="B159" s="19" t="n"/>
      <c r="C159" s="19" t="n"/>
      <c r="D159" s="19" t="n"/>
      <c r="E159" s="19" t="n"/>
      <c r="F159" s="19" t="n"/>
      <c r="G159" s="23">
        <f>IF(OR(E159="",F159=""),"",IF(E159=0,0,F159/E159))</f>
        <v/>
      </c>
      <c r="H159" s="19" t="n"/>
      <c r="I159" s="17">
        <f>IF(OR(E159="",H159=""),"",IF(E159&gt;=H159,"Đủ","Không đủ"))</f>
        <v/>
      </c>
      <c r="J159" s="19" t="n"/>
      <c r="K159" s="7">
        <f>IF(J159="","",IF(AND(LOWER(J159)="x",I159="Đủ"),IF(A159="Tháng",'Quy dinh'!$B$8,IF(A159="Tuần",'Quy dinh'!$B$7,0)),0))</f>
        <v/>
      </c>
    </row>
    <row r="160">
      <c r="A160" s="19" t="n"/>
      <c r="B160" s="19" t="n"/>
      <c r="C160" s="19" t="n"/>
      <c r="D160" s="19" t="n"/>
      <c r="E160" s="19" t="n"/>
      <c r="F160" s="19" t="n"/>
      <c r="G160" s="23">
        <f>IF(OR(E160="",F160=""),"",IF(E160=0,0,F160/E160))</f>
        <v/>
      </c>
      <c r="H160" s="19" t="n"/>
      <c r="I160" s="17">
        <f>IF(OR(E160="",H160=""),"",IF(E160&gt;=H160,"Đủ","Không đủ"))</f>
        <v/>
      </c>
      <c r="J160" s="19" t="n"/>
      <c r="K160" s="7">
        <f>IF(J160="","",IF(AND(LOWER(J160)="x",I160="Đủ"),IF(A160="Tháng",'Quy dinh'!$B$8,IF(A160="Tuần",'Quy dinh'!$B$7,0)),0))</f>
        <v/>
      </c>
    </row>
    <row r="161">
      <c r="A161" s="19" t="n"/>
      <c r="B161" s="19" t="n"/>
      <c r="C161" s="19" t="n"/>
      <c r="D161" s="19" t="n"/>
      <c r="E161" s="19" t="n"/>
      <c r="F161" s="19" t="n"/>
      <c r="G161" s="23">
        <f>IF(OR(E161="",F161=""),"",IF(E161=0,0,F161/E161))</f>
        <v/>
      </c>
      <c r="H161" s="19" t="n"/>
      <c r="I161" s="17">
        <f>IF(OR(E161="",H161=""),"",IF(E161&gt;=H161,"Đủ","Không đủ"))</f>
        <v/>
      </c>
      <c r="J161" s="19" t="n"/>
      <c r="K161" s="7">
        <f>IF(J161="","",IF(AND(LOWER(J161)="x",I161="Đủ"),IF(A161="Tháng",'Quy dinh'!$B$8,IF(A161="Tuần",'Quy dinh'!$B$7,0)),0))</f>
        <v/>
      </c>
    </row>
    <row r="162">
      <c r="A162" s="19" t="n"/>
      <c r="B162" s="19" t="n"/>
      <c r="C162" s="19" t="n"/>
      <c r="D162" s="19" t="n"/>
      <c r="E162" s="19" t="n"/>
      <c r="F162" s="19" t="n"/>
      <c r="G162" s="23">
        <f>IF(OR(E162="",F162=""),"",IF(E162=0,0,F162/E162))</f>
        <v/>
      </c>
      <c r="H162" s="19" t="n"/>
      <c r="I162" s="17">
        <f>IF(OR(E162="",H162=""),"",IF(E162&gt;=H162,"Đủ","Không đủ"))</f>
        <v/>
      </c>
      <c r="J162" s="19" t="n"/>
      <c r="K162" s="7">
        <f>IF(J162="","",IF(AND(LOWER(J162)="x",I162="Đủ"),IF(A162="Tháng",'Quy dinh'!$B$8,IF(A162="Tuần",'Quy dinh'!$B$7,0)),0))</f>
        <v/>
      </c>
    </row>
    <row r="163">
      <c r="A163" s="19" t="n"/>
      <c r="B163" s="19" t="n"/>
      <c r="C163" s="19" t="n"/>
      <c r="D163" s="19" t="n"/>
      <c r="E163" s="19" t="n"/>
      <c r="F163" s="19" t="n"/>
      <c r="G163" s="23">
        <f>IF(OR(E163="",F163=""),"",IF(E163=0,0,F163/E163))</f>
        <v/>
      </c>
      <c r="H163" s="19" t="n"/>
      <c r="I163" s="17">
        <f>IF(OR(E163="",H163=""),"",IF(E163&gt;=H163,"Đủ","Không đủ"))</f>
        <v/>
      </c>
      <c r="J163" s="19" t="n"/>
      <c r="K163" s="7">
        <f>IF(J163="","",IF(AND(LOWER(J163)="x",I163="Đủ"),IF(A163="Tháng",'Quy dinh'!$B$8,IF(A163="Tuần",'Quy dinh'!$B$7,0)),0))</f>
        <v/>
      </c>
    </row>
    <row r="164">
      <c r="A164" s="19" t="n"/>
      <c r="B164" s="19" t="n"/>
      <c r="C164" s="19" t="n"/>
      <c r="D164" s="19" t="n"/>
      <c r="E164" s="19" t="n"/>
      <c r="F164" s="19" t="n"/>
      <c r="G164" s="23">
        <f>IF(OR(E164="",F164=""),"",IF(E164=0,0,F164/E164))</f>
        <v/>
      </c>
      <c r="H164" s="19" t="n"/>
      <c r="I164" s="17">
        <f>IF(OR(E164="",H164=""),"",IF(E164&gt;=H164,"Đủ","Không đủ"))</f>
        <v/>
      </c>
      <c r="J164" s="19" t="n"/>
      <c r="K164" s="7">
        <f>IF(J164="","",IF(AND(LOWER(J164)="x",I164="Đủ"),IF(A164="Tháng",'Quy dinh'!$B$8,IF(A164="Tuần",'Quy dinh'!$B$7,0)),0))</f>
        <v/>
      </c>
    </row>
    <row r="165">
      <c r="A165" s="19" t="n"/>
      <c r="B165" s="19" t="n"/>
      <c r="C165" s="19" t="n"/>
      <c r="D165" s="19" t="n"/>
      <c r="E165" s="19" t="n"/>
      <c r="F165" s="19" t="n"/>
      <c r="G165" s="23">
        <f>IF(OR(E165="",F165=""),"",IF(E165=0,0,F165/E165))</f>
        <v/>
      </c>
      <c r="H165" s="19" t="n"/>
      <c r="I165" s="17">
        <f>IF(OR(E165="",H165=""),"",IF(E165&gt;=H165,"Đủ","Không đủ"))</f>
        <v/>
      </c>
      <c r="J165" s="19" t="n"/>
      <c r="K165" s="7">
        <f>IF(J165="","",IF(AND(LOWER(J165)="x",I165="Đủ"),IF(A165="Tháng",'Quy dinh'!$B$8,IF(A165="Tuần",'Quy dinh'!$B$7,0)),0))</f>
        <v/>
      </c>
    </row>
    <row r="166">
      <c r="A166" s="19" t="n"/>
      <c r="B166" s="19" t="n"/>
      <c r="C166" s="19" t="n"/>
      <c r="D166" s="19" t="n"/>
      <c r="E166" s="19" t="n"/>
      <c r="F166" s="19" t="n"/>
      <c r="G166" s="23">
        <f>IF(OR(E166="",F166=""),"",IF(E166=0,0,F166/E166))</f>
        <v/>
      </c>
      <c r="H166" s="19" t="n"/>
      <c r="I166" s="17">
        <f>IF(OR(E166="",H166=""),"",IF(E166&gt;=H166,"Đủ","Không đủ"))</f>
        <v/>
      </c>
      <c r="J166" s="19" t="n"/>
      <c r="K166" s="7">
        <f>IF(J166="","",IF(AND(LOWER(J166)="x",I166="Đủ"),IF(A166="Tháng",'Quy dinh'!$B$8,IF(A166="Tuần",'Quy dinh'!$B$7,0)),0))</f>
        <v/>
      </c>
    </row>
    <row r="167">
      <c r="A167" s="19" t="n"/>
      <c r="B167" s="19" t="n"/>
      <c r="C167" s="19" t="n"/>
      <c r="D167" s="19" t="n"/>
      <c r="E167" s="19" t="n"/>
      <c r="F167" s="19" t="n"/>
      <c r="G167" s="23">
        <f>IF(OR(E167="",F167=""),"",IF(E167=0,0,F167/E167))</f>
        <v/>
      </c>
      <c r="H167" s="19" t="n"/>
      <c r="I167" s="17">
        <f>IF(OR(E167="",H167=""),"",IF(E167&gt;=H167,"Đủ","Không đủ"))</f>
        <v/>
      </c>
      <c r="J167" s="19" t="n"/>
      <c r="K167" s="7">
        <f>IF(J167="","",IF(AND(LOWER(J167)="x",I167="Đủ"),IF(A167="Tháng",'Quy dinh'!$B$8,IF(A167="Tuần",'Quy dinh'!$B$7,0)),0))</f>
        <v/>
      </c>
    </row>
    <row r="168">
      <c r="A168" s="19" t="n"/>
      <c r="B168" s="19" t="n"/>
      <c r="C168" s="19" t="n"/>
      <c r="D168" s="19" t="n"/>
      <c r="E168" s="19" t="n"/>
      <c r="F168" s="19" t="n"/>
      <c r="G168" s="23">
        <f>IF(OR(E168="",F168=""),"",IF(E168=0,0,F168/E168))</f>
        <v/>
      </c>
      <c r="H168" s="19" t="n"/>
      <c r="I168" s="17">
        <f>IF(OR(E168="",H168=""),"",IF(E168&gt;=H168,"Đủ","Không đủ"))</f>
        <v/>
      </c>
      <c r="J168" s="19" t="n"/>
      <c r="K168" s="7">
        <f>IF(J168="","",IF(AND(LOWER(J168)="x",I168="Đủ"),IF(A168="Tháng",'Quy dinh'!$B$8,IF(A168="Tuần",'Quy dinh'!$B$7,0)),0))</f>
        <v/>
      </c>
    </row>
    <row r="169">
      <c r="A169" s="19" t="n"/>
      <c r="B169" s="19" t="n"/>
      <c r="C169" s="19" t="n"/>
      <c r="D169" s="19" t="n"/>
      <c r="E169" s="19" t="n"/>
      <c r="F169" s="19" t="n"/>
      <c r="G169" s="23">
        <f>IF(OR(E169="",F169=""),"",IF(E169=0,0,F169/E169))</f>
        <v/>
      </c>
      <c r="H169" s="19" t="n"/>
      <c r="I169" s="17">
        <f>IF(OR(E169="",H169=""),"",IF(E169&gt;=H169,"Đủ","Không đủ"))</f>
        <v/>
      </c>
      <c r="J169" s="19" t="n"/>
      <c r="K169" s="7">
        <f>IF(J169="","",IF(AND(LOWER(J169)="x",I169="Đủ"),IF(A169="Tháng",'Quy dinh'!$B$8,IF(A169="Tuần",'Quy dinh'!$B$7,0)),0))</f>
        <v/>
      </c>
    </row>
    <row r="170">
      <c r="A170" s="19" t="n"/>
      <c r="B170" s="19" t="n"/>
      <c r="C170" s="19" t="n"/>
      <c r="D170" s="19" t="n"/>
      <c r="E170" s="19" t="n"/>
      <c r="F170" s="19" t="n"/>
      <c r="G170" s="23">
        <f>IF(OR(E170="",F170=""),"",IF(E170=0,0,F170/E170))</f>
        <v/>
      </c>
      <c r="H170" s="19" t="n"/>
      <c r="I170" s="17">
        <f>IF(OR(E170="",H170=""),"",IF(E170&gt;=H170,"Đủ","Không đủ"))</f>
        <v/>
      </c>
      <c r="J170" s="19" t="n"/>
      <c r="K170" s="7">
        <f>IF(J170="","",IF(AND(LOWER(J170)="x",I170="Đủ"),IF(A170="Tháng",'Quy dinh'!$B$8,IF(A170="Tuần",'Quy dinh'!$B$7,0)),0))</f>
        <v/>
      </c>
    </row>
    <row r="171">
      <c r="A171" s="19" t="n"/>
      <c r="B171" s="19" t="n"/>
      <c r="C171" s="19" t="n"/>
      <c r="D171" s="19" t="n"/>
      <c r="E171" s="19" t="n"/>
      <c r="F171" s="19" t="n"/>
      <c r="G171" s="23">
        <f>IF(OR(E171="",F171=""),"",IF(E171=0,0,F171/E171))</f>
        <v/>
      </c>
      <c r="H171" s="19" t="n"/>
      <c r="I171" s="17">
        <f>IF(OR(E171="",H171=""),"",IF(E171&gt;=H171,"Đủ","Không đủ"))</f>
        <v/>
      </c>
      <c r="J171" s="19" t="n"/>
      <c r="K171" s="7">
        <f>IF(J171="","",IF(AND(LOWER(J171)="x",I171="Đủ"),IF(A171="Tháng",'Quy dinh'!$B$8,IF(A171="Tuần",'Quy dinh'!$B$7,0)),0))</f>
        <v/>
      </c>
    </row>
    <row r="172">
      <c r="A172" s="19" t="n"/>
      <c r="B172" s="19" t="n"/>
      <c r="C172" s="19" t="n"/>
      <c r="D172" s="19" t="n"/>
      <c r="E172" s="19" t="n"/>
      <c r="F172" s="19" t="n"/>
      <c r="G172" s="23">
        <f>IF(OR(E172="",F172=""),"",IF(E172=0,0,F172/E172))</f>
        <v/>
      </c>
      <c r="H172" s="19" t="n"/>
      <c r="I172" s="17">
        <f>IF(OR(E172="",H172=""),"",IF(E172&gt;=H172,"Đủ","Không đủ"))</f>
        <v/>
      </c>
      <c r="J172" s="19" t="n"/>
      <c r="K172" s="7">
        <f>IF(J172="","",IF(AND(LOWER(J172)="x",I172="Đủ"),IF(A172="Tháng",'Quy dinh'!$B$8,IF(A172="Tuần",'Quy dinh'!$B$7,0)),0))</f>
        <v/>
      </c>
    </row>
    <row r="173">
      <c r="A173" s="19" t="n"/>
      <c r="B173" s="19" t="n"/>
      <c r="C173" s="19" t="n"/>
      <c r="D173" s="19" t="n"/>
      <c r="E173" s="19" t="n"/>
      <c r="F173" s="19" t="n"/>
      <c r="G173" s="23">
        <f>IF(OR(E173="",F173=""),"",IF(E173=0,0,F173/E173))</f>
        <v/>
      </c>
      <c r="H173" s="19" t="n"/>
      <c r="I173" s="17">
        <f>IF(OR(E173="",H173=""),"",IF(E173&gt;=H173,"Đủ","Không đủ"))</f>
        <v/>
      </c>
      <c r="J173" s="19" t="n"/>
      <c r="K173" s="7">
        <f>IF(J173="","",IF(AND(LOWER(J173)="x",I173="Đủ"),IF(A173="Tháng",'Quy dinh'!$B$8,IF(A173="Tuần",'Quy dinh'!$B$7,0)),0))</f>
        <v/>
      </c>
    </row>
    <row r="174">
      <c r="A174" s="19" t="n"/>
      <c r="B174" s="19" t="n"/>
      <c r="C174" s="19" t="n"/>
      <c r="D174" s="19" t="n"/>
      <c r="E174" s="19" t="n"/>
      <c r="F174" s="19" t="n"/>
      <c r="G174" s="23">
        <f>IF(OR(E174="",F174=""),"",IF(E174=0,0,F174/E174))</f>
        <v/>
      </c>
      <c r="H174" s="19" t="n"/>
      <c r="I174" s="17">
        <f>IF(OR(E174="",H174=""),"",IF(E174&gt;=H174,"Đủ","Không đủ"))</f>
        <v/>
      </c>
      <c r="J174" s="19" t="n"/>
      <c r="K174" s="7">
        <f>IF(J174="","",IF(AND(LOWER(J174)="x",I174="Đủ"),IF(A174="Tháng",'Quy dinh'!$B$8,IF(A174="Tuần",'Quy dinh'!$B$7,0)),0))</f>
        <v/>
      </c>
    </row>
    <row r="175">
      <c r="A175" s="19" t="n"/>
      <c r="B175" s="19" t="n"/>
      <c r="C175" s="19" t="n"/>
      <c r="D175" s="19" t="n"/>
      <c r="E175" s="19" t="n"/>
      <c r="F175" s="19" t="n"/>
      <c r="G175" s="23">
        <f>IF(OR(E175="",F175=""),"",IF(E175=0,0,F175/E175))</f>
        <v/>
      </c>
      <c r="H175" s="19" t="n"/>
      <c r="I175" s="17">
        <f>IF(OR(E175="",H175=""),"",IF(E175&gt;=H175,"Đủ","Không đủ"))</f>
        <v/>
      </c>
      <c r="J175" s="19" t="n"/>
      <c r="K175" s="7">
        <f>IF(J175="","",IF(AND(LOWER(J175)="x",I175="Đủ"),IF(A175="Tháng",'Quy dinh'!$B$8,IF(A175="Tuần",'Quy dinh'!$B$7,0)),0))</f>
        <v/>
      </c>
    </row>
    <row r="176">
      <c r="A176" s="19" t="n"/>
      <c r="B176" s="19" t="n"/>
      <c r="C176" s="19" t="n"/>
      <c r="D176" s="19" t="n"/>
      <c r="E176" s="19" t="n"/>
      <c r="F176" s="19" t="n"/>
      <c r="G176" s="23">
        <f>IF(OR(E176="",F176=""),"",IF(E176=0,0,F176/E176))</f>
        <v/>
      </c>
      <c r="H176" s="19" t="n"/>
      <c r="I176" s="17">
        <f>IF(OR(E176="",H176=""),"",IF(E176&gt;=H176,"Đủ","Không đủ"))</f>
        <v/>
      </c>
      <c r="J176" s="19" t="n"/>
      <c r="K176" s="7">
        <f>IF(J176="","",IF(AND(LOWER(J176)="x",I176="Đủ"),IF(A176="Tháng",'Quy dinh'!$B$8,IF(A176="Tuần",'Quy dinh'!$B$7,0)),0))</f>
        <v/>
      </c>
    </row>
    <row r="177">
      <c r="A177" s="19" t="n"/>
      <c r="B177" s="19" t="n"/>
      <c r="C177" s="19" t="n"/>
      <c r="D177" s="19" t="n"/>
      <c r="E177" s="19" t="n"/>
      <c r="F177" s="19" t="n"/>
      <c r="G177" s="23">
        <f>IF(OR(E177="",F177=""),"",IF(E177=0,0,F177/E177))</f>
        <v/>
      </c>
      <c r="H177" s="19" t="n"/>
      <c r="I177" s="17">
        <f>IF(OR(E177="",H177=""),"",IF(E177&gt;=H177,"Đủ","Không đủ"))</f>
        <v/>
      </c>
      <c r="J177" s="19" t="n"/>
      <c r="K177" s="7">
        <f>IF(J177="","",IF(AND(LOWER(J177)="x",I177="Đủ"),IF(A177="Tháng",'Quy dinh'!$B$8,IF(A177="Tuần",'Quy dinh'!$B$7,0)),0))</f>
        <v/>
      </c>
    </row>
    <row r="178">
      <c r="A178" s="19" t="n"/>
      <c r="B178" s="19" t="n"/>
      <c r="C178" s="19" t="n"/>
      <c r="D178" s="19" t="n"/>
      <c r="E178" s="19" t="n"/>
      <c r="F178" s="19" t="n"/>
      <c r="G178" s="23">
        <f>IF(OR(E178="",F178=""),"",IF(E178=0,0,F178/E178))</f>
        <v/>
      </c>
      <c r="H178" s="19" t="n"/>
      <c r="I178" s="17">
        <f>IF(OR(E178="",H178=""),"",IF(E178&gt;=H178,"Đủ","Không đủ"))</f>
        <v/>
      </c>
      <c r="J178" s="19" t="n"/>
      <c r="K178" s="7">
        <f>IF(J178="","",IF(AND(LOWER(J178)="x",I178="Đủ"),IF(A178="Tháng",'Quy dinh'!$B$8,IF(A178="Tuần",'Quy dinh'!$B$7,0)),0))</f>
        <v/>
      </c>
    </row>
    <row r="179">
      <c r="A179" s="19" t="n"/>
      <c r="B179" s="19" t="n"/>
      <c r="C179" s="19" t="n"/>
      <c r="D179" s="19" t="n"/>
      <c r="E179" s="19" t="n"/>
      <c r="F179" s="19" t="n"/>
      <c r="G179" s="23">
        <f>IF(OR(E179="",F179=""),"",IF(E179=0,0,F179/E179))</f>
        <v/>
      </c>
      <c r="H179" s="19" t="n"/>
      <c r="I179" s="17">
        <f>IF(OR(E179="",H179=""),"",IF(E179&gt;=H179,"Đủ","Không đủ"))</f>
        <v/>
      </c>
      <c r="J179" s="19" t="n"/>
      <c r="K179" s="7">
        <f>IF(J179="","",IF(AND(LOWER(J179)="x",I179="Đủ"),IF(A179="Tháng",'Quy dinh'!$B$8,IF(A179="Tuần",'Quy dinh'!$B$7,0)),0))</f>
        <v/>
      </c>
    </row>
    <row r="180">
      <c r="A180" s="19" t="n"/>
      <c r="B180" s="19" t="n"/>
      <c r="C180" s="19" t="n"/>
      <c r="D180" s="19" t="n"/>
      <c r="E180" s="19" t="n"/>
      <c r="F180" s="19" t="n"/>
      <c r="G180" s="23">
        <f>IF(OR(E180="",F180=""),"",IF(E180=0,0,F180/E180))</f>
        <v/>
      </c>
      <c r="H180" s="19" t="n"/>
      <c r="I180" s="17">
        <f>IF(OR(E180="",H180=""),"",IF(E180&gt;=H180,"Đủ","Không đủ"))</f>
        <v/>
      </c>
      <c r="J180" s="19" t="n"/>
      <c r="K180" s="7">
        <f>IF(J180="","",IF(AND(LOWER(J180)="x",I180="Đủ"),IF(A180="Tháng",'Quy dinh'!$B$8,IF(A180="Tuần",'Quy dinh'!$B$7,0)),0))</f>
        <v/>
      </c>
    </row>
    <row r="181">
      <c r="A181" s="19" t="n"/>
      <c r="B181" s="19" t="n"/>
      <c r="C181" s="19" t="n"/>
      <c r="D181" s="19" t="n"/>
      <c r="E181" s="19" t="n"/>
      <c r="F181" s="19" t="n"/>
      <c r="G181" s="23">
        <f>IF(OR(E181="",F181=""),"",IF(E181=0,0,F181/E181))</f>
        <v/>
      </c>
      <c r="H181" s="19" t="n"/>
      <c r="I181" s="17">
        <f>IF(OR(E181="",H181=""),"",IF(E181&gt;=H181,"Đủ","Không đủ"))</f>
        <v/>
      </c>
      <c r="J181" s="19" t="n"/>
      <c r="K181" s="7">
        <f>IF(J181="","",IF(AND(LOWER(J181)="x",I181="Đủ"),IF(A181="Tháng",'Quy dinh'!$B$8,IF(A181="Tuần",'Quy dinh'!$B$7,0)),0))</f>
        <v/>
      </c>
    </row>
    <row r="182">
      <c r="A182" s="19" t="n"/>
      <c r="B182" s="19" t="n"/>
      <c r="C182" s="19" t="n"/>
      <c r="D182" s="19" t="n"/>
      <c r="E182" s="19" t="n"/>
      <c r="F182" s="19" t="n"/>
      <c r="G182" s="23">
        <f>IF(OR(E182="",F182=""),"",IF(E182=0,0,F182/E182))</f>
        <v/>
      </c>
      <c r="H182" s="19" t="n"/>
      <c r="I182" s="17">
        <f>IF(OR(E182="",H182=""),"",IF(E182&gt;=H182,"Đủ","Không đủ"))</f>
        <v/>
      </c>
      <c r="J182" s="19" t="n"/>
      <c r="K182" s="7">
        <f>IF(J182="","",IF(AND(LOWER(J182)="x",I182="Đủ"),IF(A182="Tháng",'Quy dinh'!$B$8,IF(A182="Tuần",'Quy dinh'!$B$7,0)),0))</f>
        <v/>
      </c>
    </row>
    <row r="183">
      <c r="A183" s="19" t="n"/>
      <c r="B183" s="19" t="n"/>
      <c r="C183" s="19" t="n"/>
      <c r="D183" s="19" t="n"/>
      <c r="E183" s="19" t="n"/>
      <c r="F183" s="19" t="n"/>
      <c r="G183" s="23">
        <f>IF(OR(E183="",F183=""),"",IF(E183=0,0,F183/E183))</f>
        <v/>
      </c>
      <c r="H183" s="19" t="n"/>
      <c r="I183" s="17">
        <f>IF(OR(E183="",H183=""),"",IF(E183&gt;=H183,"Đủ","Không đủ"))</f>
        <v/>
      </c>
      <c r="J183" s="19" t="n"/>
      <c r="K183" s="7">
        <f>IF(J183="","",IF(AND(LOWER(J183)="x",I183="Đủ"),IF(A183="Tháng",'Quy dinh'!$B$8,IF(A183="Tuần",'Quy dinh'!$B$7,0)),0))</f>
        <v/>
      </c>
    </row>
    <row r="184">
      <c r="A184" s="19" t="n"/>
      <c r="B184" s="19" t="n"/>
      <c r="C184" s="19" t="n"/>
      <c r="D184" s="19" t="n"/>
      <c r="E184" s="19" t="n"/>
      <c r="F184" s="19" t="n"/>
      <c r="G184" s="23">
        <f>IF(OR(E184="",F184=""),"",IF(E184=0,0,F184/E184))</f>
        <v/>
      </c>
      <c r="H184" s="19" t="n"/>
      <c r="I184" s="17">
        <f>IF(OR(E184="",H184=""),"",IF(E184&gt;=H184,"Đủ","Không đủ"))</f>
        <v/>
      </c>
      <c r="J184" s="19" t="n"/>
      <c r="K184" s="7">
        <f>IF(J184="","",IF(AND(LOWER(J184)="x",I184="Đủ"),IF(A184="Tháng",'Quy dinh'!$B$8,IF(A184="Tuần",'Quy dinh'!$B$7,0)),0))</f>
        <v/>
      </c>
    </row>
    <row r="185">
      <c r="A185" s="19" t="n"/>
      <c r="B185" s="19" t="n"/>
      <c r="C185" s="19" t="n"/>
      <c r="D185" s="19" t="n"/>
      <c r="E185" s="19" t="n"/>
      <c r="F185" s="19" t="n"/>
      <c r="G185" s="23">
        <f>IF(OR(E185="",F185=""),"",IF(E185=0,0,F185/E185))</f>
        <v/>
      </c>
      <c r="H185" s="19" t="n"/>
      <c r="I185" s="17">
        <f>IF(OR(E185="",H185=""),"",IF(E185&gt;=H185,"Đủ","Không đủ"))</f>
        <v/>
      </c>
      <c r="J185" s="19" t="n"/>
      <c r="K185" s="7">
        <f>IF(J185="","",IF(AND(LOWER(J185)="x",I185="Đủ"),IF(A185="Tháng",'Quy dinh'!$B$8,IF(A185="Tuần",'Quy dinh'!$B$7,0)),0))</f>
        <v/>
      </c>
    </row>
    <row r="186">
      <c r="A186" s="19" t="n"/>
      <c r="B186" s="19" t="n"/>
      <c r="C186" s="19" t="n"/>
      <c r="D186" s="19" t="n"/>
      <c r="E186" s="19" t="n"/>
      <c r="F186" s="19" t="n"/>
      <c r="G186" s="23">
        <f>IF(OR(E186="",F186=""),"",IF(E186=0,0,F186/E186))</f>
        <v/>
      </c>
      <c r="H186" s="19" t="n"/>
      <c r="I186" s="17">
        <f>IF(OR(E186="",H186=""),"",IF(E186&gt;=H186,"Đủ","Không đủ"))</f>
        <v/>
      </c>
      <c r="J186" s="19" t="n"/>
      <c r="K186" s="7">
        <f>IF(J186="","",IF(AND(LOWER(J186)="x",I186="Đủ"),IF(A186="Tháng",'Quy dinh'!$B$8,IF(A186="Tuần",'Quy dinh'!$B$7,0)),0))</f>
        <v/>
      </c>
    </row>
    <row r="187">
      <c r="A187" s="19" t="n"/>
      <c r="B187" s="19" t="n"/>
      <c r="C187" s="19" t="n"/>
      <c r="D187" s="19" t="n"/>
      <c r="E187" s="19" t="n"/>
      <c r="F187" s="19" t="n"/>
      <c r="G187" s="23">
        <f>IF(OR(E187="",F187=""),"",IF(E187=0,0,F187/E187))</f>
        <v/>
      </c>
      <c r="H187" s="19" t="n"/>
      <c r="I187" s="17">
        <f>IF(OR(E187="",H187=""),"",IF(E187&gt;=H187,"Đủ","Không đủ"))</f>
        <v/>
      </c>
      <c r="J187" s="19" t="n"/>
      <c r="K187" s="7">
        <f>IF(J187="","",IF(AND(LOWER(J187)="x",I187="Đủ"),IF(A187="Tháng",'Quy dinh'!$B$8,IF(A187="Tuần",'Quy dinh'!$B$7,0)),0))</f>
        <v/>
      </c>
    </row>
    <row r="188">
      <c r="A188" s="19" t="n"/>
      <c r="B188" s="19" t="n"/>
      <c r="C188" s="19" t="n"/>
      <c r="D188" s="19" t="n"/>
      <c r="E188" s="19" t="n"/>
      <c r="F188" s="19" t="n"/>
      <c r="G188" s="23">
        <f>IF(OR(E188="",F188=""),"",IF(E188=0,0,F188/E188))</f>
        <v/>
      </c>
      <c r="H188" s="19" t="n"/>
      <c r="I188" s="17">
        <f>IF(OR(E188="",H188=""),"",IF(E188&gt;=H188,"Đủ","Không đủ"))</f>
        <v/>
      </c>
      <c r="J188" s="19" t="n"/>
      <c r="K188" s="7">
        <f>IF(J188="","",IF(AND(LOWER(J188)="x",I188="Đủ"),IF(A188="Tháng",'Quy dinh'!$B$8,IF(A188="Tuần",'Quy dinh'!$B$7,0)),0))</f>
        <v/>
      </c>
    </row>
    <row r="189">
      <c r="A189" s="19" t="n"/>
      <c r="B189" s="19" t="n"/>
      <c r="C189" s="19" t="n"/>
      <c r="D189" s="19" t="n"/>
      <c r="E189" s="19" t="n"/>
      <c r="F189" s="19" t="n"/>
      <c r="G189" s="23">
        <f>IF(OR(E189="",F189=""),"",IF(E189=0,0,F189/E189))</f>
        <v/>
      </c>
      <c r="H189" s="19" t="n"/>
      <c r="I189" s="17">
        <f>IF(OR(E189="",H189=""),"",IF(E189&gt;=H189,"Đủ","Không đủ"))</f>
        <v/>
      </c>
      <c r="J189" s="19" t="n"/>
      <c r="K189" s="7">
        <f>IF(J189="","",IF(AND(LOWER(J189)="x",I189="Đủ"),IF(A189="Tháng",'Quy dinh'!$B$8,IF(A189="Tuần",'Quy dinh'!$B$7,0)),0))</f>
        <v/>
      </c>
    </row>
    <row r="190">
      <c r="A190" s="19" t="n"/>
      <c r="B190" s="19" t="n"/>
      <c r="C190" s="19" t="n"/>
      <c r="D190" s="19" t="n"/>
      <c r="E190" s="19" t="n"/>
      <c r="F190" s="19" t="n"/>
      <c r="G190" s="23">
        <f>IF(OR(E190="",F190=""),"",IF(E190=0,0,F190/E190))</f>
        <v/>
      </c>
      <c r="H190" s="19" t="n"/>
      <c r="I190" s="17">
        <f>IF(OR(E190="",H190=""),"",IF(E190&gt;=H190,"Đủ","Không đủ"))</f>
        <v/>
      </c>
      <c r="J190" s="19" t="n"/>
      <c r="K190" s="7">
        <f>IF(J190="","",IF(AND(LOWER(J190)="x",I190="Đủ"),IF(A190="Tháng",'Quy dinh'!$B$8,IF(A190="Tuần",'Quy dinh'!$B$7,0)),0))</f>
        <v/>
      </c>
    </row>
    <row r="191">
      <c r="A191" s="19" t="n"/>
      <c r="B191" s="19" t="n"/>
      <c r="C191" s="19" t="n"/>
      <c r="D191" s="19" t="n"/>
      <c r="E191" s="19" t="n"/>
      <c r="F191" s="19" t="n"/>
      <c r="G191" s="23">
        <f>IF(OR(E191="",F191=""),"",IF(E191=0,0,F191/E191))</f>
        <v/>
      </c>
      <c r="H191" s="19" t="n"/>
      <c r="I191" s="17">
        <f>IF(OR(E191="",H191=""),"",IF(E191&gt;=H191,"Đủ","Không đủ"))</f>
        <v/>
      </c>
      <c r="J191" s="19" t="n"/>
      <c r="K191" s="7">
        <f>IF(J191="","",IF(AND(LOWER(J191)="x",I191="Đủ"),IF(A191="Tháng",'Quy dinh'!$B$8,IF(A191="Tuần",'Quy dinh'!$B$7,0)),0))</f>
        <v/>
      </c>
    </row>
    <row r="192">
      <c r="A192" s="19" t="n"/>
      <c r="B192" s="19" t="n"/>
      <c r="C192" s="19" t="n"/>
      <c r="D192" s="19" t="n"/>
      <c r="E192" s="19" t="n"/>
      <c r="F192" s="19" t="n"/>
      <c r="G192" s="23">
        <f>IF(OR(E192="",F192=""),"",IF(E192=0,0,F192/E192))</f>
        <v/>
      </c>
      <c r="H192" s="19" t="n"/>
      <c r="I192" s="17">
        <f>IF(OR(E192="",H192=""),"",IF(E192&gt;=H192,"Đủ","Không đủ"))</f>
        <v/>
      </c>
      <c r="J192" s="19" t="n"/>
      <c r="K192" s="7">
        <f>IF(J192="","",IF(AND(LOWER(J192)="x",I192="Đủ"),IF(A192="Tháng",'Quy dinh'!$B$8,IF(A192="Tuần",'Quy dinh'!$B$7,0)),0))</f>
        <v/>
      </c>
    </row>
    <row r="193">
      <c r="A193" s="19" t="n"/>
      <c r="B193" s="19" t="n"/>
      <c r="C193" s="19" t="n"/>
      <c r="D193" s="19" t="n"/>
      <c r="E193" s="19" t="n"/>
      <c r="F193" s="19" t="n"/>
      <c r="G193" s="23">
        <f>IF(OR(E193="",F193=""),"",IF(E193=0,0,F193/E193))</f>
        <v/>
      </c>
      <c r="H193" s="19" t="n"/>
      <c r="I193" s="17">
        <f>IF(OR(E193="",H193=""),"",IF(E193&gt;=H193,"Đủ","Không đủ"))</f>
        <v/>
      </c>
      <c r="J193" s="19" t="n"/>
      <c r="K193" s="7">
        <f>IF(J193="","",IF(AND(LOWER(J193)="x",I193="Đủ"),IF(A193="Tháng",'Quy dinh'!$B$8,IF(A193="Tuần",'Quy dinh'!$B$7,0)),0))</f>
        <v/>
      </c>
    </row>
    <row r="194">
      <c r="A194" s="19" t="n"/>
      <c r="B194" s="19" t="n"/>
      <c r="C194" s="19" t="n"/>
      <c r="D194" s="19" t="n"/>
      <c r="E194" s="19" t="n"/>
      <c r="F194" s="19" t="n"/>
      <c r="G194" s="23">
        <f>IF(OR(E194="",F194=""),"",IF(E194=0,0,F194/E194))</f>
        <v/>
      </c>
      <c r="H194" s="19" t="n"/>
      <c r="I194" s="17">
        <f>IF(OR(E194="",H194=""),"",IF(E194&gt;=H194,"Đủ","Không đủ"))</f>
        <v/>
      </c>
      <c r="J194" s="19" t="n"/>
      <c r="K194" s="7">
        <f>IF(J194="","",IF(AND(LOWER(J194)="x",I194="Đủ"),IF(A194="Tháng",'Quy dinh'!$B$8,IF(A194="Tuần",'Quy dinh'!$B$7,0)),0))</f>
        <v/>
      </c>
    </row>
    <row r="195">
      <c r="A195" s="19" t="n"/>
      <c r="B195" s="19" t="n"/>
      <c r="C195" s="19" t="n"/>
      <c r="D195" s="19" t="n"/>
      <c r="E195" s="19" t="n"/>
      <c r="F195" s="19" t="n"/>
      <c r="G195" s="23">
        <f>IF(OR(E195="",F195=""),"",IF(E195=0,0,F195/E195))</f>
        <v/>
      </c>
      <c r="H195" s="19" t="n"/>
      <c r="I195" s="17">
        <f>IF(OR(E195="",H195=""),"",IF(E195&gt;=H195,"Đủ","Không đủ"))</f>
        <v/>
      </c>
      <c r="J195" s="19" t="n"/>
      <c r="K195" s="7">
        <f>IF(J195="","",IF(AND(LOWER(J195)="x",I195="Đủ"),IF(A195="Tháng",'Quy dinh'!$B$8,IF(A195="Tuần",'Quy dinh'!$B$7,0)),0))</f>
        <v/>
      </c>
    </row>
    <row r="196">
      <c r="A196" s="19" t="n"/>
      <c r="B196" s="19" t="n"/>
      <c r="C196" s="19" t="n"/>
      <c r="D196" s="19" t="n"/>
      <c r="E196" s="19" t="n"/>
      <c r="F196" s="19" t="n"/>
      <c r="G196" s="23">
        <f>IF(OR(E196="",F196=""),"",IF(E196=0,0,F196/E196))</f>
        <v/>
      </c>
      <c r="H196" s="19" t="n"/>
      <c r="I196" s="17">
        <f>IF(OR(E196="",H196=""),"",IF(E196&gt;=H196,"Đủ","Không đủ"))</f>
        <v/>
      </c>
      <c r="J196" s="19" t="n"/>
      <c r="K196" s="7">
        <f>IF(J196="","",IF(AND(LOWER(J196)="x",I196="Đủ"),IF(A196="Tháng",'Quy dinh'!$B$8,IF(A196="Tuần",'Quy dinh'!$B$7,0)),0))</f>
        <v/>
      </c>
    </row>
    <row r="197">
      <c r="A197" s="19" t="n"/>
      <c r="B197" s="19" t="n"/>
      <c r="C197" s="19" t="n"/>
      <c r="D197" s="19" t="n"/>
      <c r="E197" s="19" t="n"/>
      <c r="F197" s="19" t="n"/>
      <c r="G197" s="23">
        <f>IF(OR(E197="",F197=""),"",IF(E197=0,0,F197/E197))</f>
        <v/>
      </c>
      <c r="H197" s="19" t="n"/>
      <c r="I197" s="17">
        <f>IF(OR(E197="",H197=""),"",IF(E197&gt;=H197,"Đủ","Không đủ"))</f>
        <v/>
      </c>
      <c r="J197" s="19" t="n"/>
      <c r="K197" s="7">
        <f>IF(J197="","",IF(AND(LOWER(J197)="x",I197="Đủ"),IF(A197="Tháng",'Quy dinh'!$B$8,IF(A197="Tuần",'Quy dinh'!$B$7,0)),0))</f>
        <v/>
      </c>
    </row>
    <row r="198">
      <c r="A198" s="19" t="n"/>
      <c r="B198" s="19" t="n"/>
      <c r="C198" s="19" t="n"/>
      <c r="D198" s="19" t="n"/>
      <c r="E198" s="19" t="n"/>
      <c r="F198" s="19" t="n"/>
      <c r="G198" s="23">
        <f>IF(OR(E198="",F198=""),"",IF(E198=0,0,F198/E198))</f>
        <v/>
      </c>
      <c r="H198" s="19" t="n"/>
      <c r="I198" s="17">
        <f>IF(OR(E198="",H198=""),"",IF(E198&gt;=H198,"Đủ","Không đủ"))</f>
        <v/>
      </c>
      <c r="J198" s="19" t="n"/>
      <c r="K198" s="7">
        <f>IF(J198="","",IF(AND(LOWER(J198)="x",I198="Đủ"),IF(A198="Tháng",'Quy dinh'!$B$8,IF(A198="Tuần",'Quy dinh'!$B$7,0)),0))</f>
        <v/>
      </c>
    </row>
    <row r="199">
      <c r="A199" s="19" t="n"/>
      <c r="B199" s="19" t="n"/>
      <c r="C199" s="19" t="n"/>
      <c r="D199" s="19" t="n"/>
      <c r="E199" s="19" t="n"/>
      <c r="F199" s="19" t="n"/>
      <c r="G199" s="23">
        <f>IF(OR(E199="",F199=""),"",IF(E199=0,0,F199/E199))</f>
        <v/>
      </c>
      <c r="H199" s="19" t="n"/>
      <c r="I199" s="17">
        <f>IF(OR(E199="",H199=""),"",IF(E199&gt;=H199,"Đủ","Không đủ"))</f>
        <v/>
      </c>
      <c r="J199" s="19" t="n"/>
      <c r="K199" s="7">
        <f>IF(J199="","",IF(AND(LOWER(J199)="x",I199="Đủ"),IF(A199="Tháng",'Quy dinh'!$B$8,IF(A199="Tuần",'Quy dinh'!$B$7,0)),0))</f>
        <v/>
      </c>
    </row>
    <row r="200">
      <c r="A200" s="19" t="n"/>
      <c r="B200" s="19" t="n"/>
      <c r="C200" s="19" t="n"/>
      <c r="D200" s="19" t="n"/>
      <c r="E200" s="19" t="n"/>
      <c r="F200" s="19" t="n"/>
      <c r="G200" s="23">
        <f>IF(OR(E200="",F200=""),"",IF(E200=0,0,F200/E200))</f>
        <v/>
      </c>
      <c r="H200" s="19" t="n"/>
      <c r="I200" s="17">
        <f>IF(OR(E200="",H200=""),"",IF(E200&gt;=H200,"Đủ","Không đủ"))</f>
        <v/>
      </c>
      <c r="J200" s="19" t="n"/>
      <c r="K200" s="7">
        <f>IF(J200="","",IF(AND(LOWER(J200)="x",I200="Đủ"),IF(A200="Tháng",'Quy dinh'!$B$8,IF(A200="Tuần",'Quy dinh'!$B$7,0)),0))</f>
        <v/>
      </c>
    </row>
    <row r="201">
      <c r="A201" s="19" t="n"/>
      <c r="B201" s="19" t="n"/>
      <c r="C201" s="19" t="n"/>
      <c r="D201" s="19" t="n"/>
      <c r="E201" s="19" t="n"/>
      <c r="F201" s="19" t="n"/>
      <c r="G201" s="23">
        <f>IF(OR(E201="",F201=""),"",IF(E201=0,0,F201/E201))</f>
        <v/>
      </c>
      <c r="H201" s="19" t="n"/>
      <c r="I201" s="17">
        <f>IF(OR(E201="",H201=""),"",IF(E201&gt;=H201,"Đủ","Không đủ"))</f>
        <v/>
      </c>
      <c r="J201" s="19" t="n"/>
      <c r="K201" s="7">
        <f>IF(J201="","",IF(AND(LOWER(J201)="x",I201="Đủ"),IF(A201="Tháng",'Quy dinh'!$B$8,IF(A201="Tuần",'Quy dinh'!$B$7,0)),0))</f>
        <v/>
      </c>
    </row>
    <row r="202">
      <c r="A202" s="19" t="n"/>
      <c r="B202" s="19" t="n"/>
      <c r="C202" s="19" t="n"/>
      <c r="D202" s="19" t="n"/>
      <c r="E202" s="19" t="n"/>
      <c r="F202" s="19" t="n"/>
      <c r="G202" s="23">
        <f>IF(OR(E202="",F202=""),"",IF(E202=0,0,F202/E202))</f>
        <v/>
      </c>
      <c r="H202" s="19" t="n"/>
      <c r="I202" s="17">
        <f>IF(OR(E202="",H202=""),"",IF(E202&gt;=H202,"Đủ","Không đủ"))</f>
        <v/>
      </c>
      <c r="J202" s="19" t="n"/>
      <c r="K202" s="7">
        <f>IF(J202="","",IF(AND(LOWER(J202)="x",I202="Đủ"),IF(A202="Tháng",'Quy dinh'!$B$8,IF(A202="Tuần",'Quy dinh'!$B$7,0)),0))</f>
        <v/>
      </c>
    </row>
    <row r="203">
      <c r="A203" s="19" t="n"/>
      <c r="B203" s="19" t="n"/>
      <c r="C203" s="19" t="n"/>
      <c r="D203" s="19" t="n"/>
      <c r="E203" s="19" t="n"/>
      <c r="F203" s="19" t="n"/>
      <c r="G203" s="23">
        <f>IF(OR(E203="",F203=""),"",IF(E203=0,0,F203/E203))</f>
        <v/>
      </c>
      <c r="H203" s="19" t="n"/>
      <c r="I203" s="17">
        <f>IF(OR(E203="",H203=""),"",IF(E203&gt;=H203,"Đủ","Không đủ"))</f>
        <v/>
      </c>
      <c r="J203" s="19" t="n"/>
      <c r="K203" s="7">
        <f>IF(J203="","",IF(AND(LOWER(J203)="x",I203="Đủ"),IF(A203="Tháng",'Quy dinh'!$B$8,IF(A203="Tuần",'Quy dinh'!$B$7,0)),0))</f>
        <v/>
      </c>
    </row>
    <row r="204">
      <c r="A204" s="19" t="n"/>
      <c r="B204" s="19" t="n"/>
      <c r="C204" s="19" t="n"/>
      <c r="D204" s="19" t="n"/>
      <c r="E204" s="19" t="n"/>
      <c r="F204" s="19" t="n"/>
      <c r="G204" s="23">
        <f>IF(OR(E204="",F204=""),"",IF(E204=0,0,F204/E204))</f>
        <v/>
      </c>
      <c r="H204" s="19" t="n"/>
      <c r="I204" s="17">
        <f>IF(OR(E204="",H204=""),"",IF(E204&gt;=H204,"Đủ","Không đủ"))</f>
        <v/>
      </c>
      <c r="J204" s="19" t="n"/>
      <c r="K204" s="7">
        <f>IF(J204="","",IF(AND(LOWER(J204)="x",I204="Đủ"),IF(A204="Tháng",'Quy dinh'!$B$8,IF(A204="Tuần",'Quy dinh'!$B$7,0)),0))</f>
        <v/>
      </c>
    </row>
    <row r="205">
      <c r="A205" s="19" t="n"/>
      <c r="B205" s="19" t="n"/>
      <c r="C205" s="19" t="n"/>
      <c r="D205" s="19" t="n"/>
      <c r="E205" s="19" t="n"/>
      <c r="F205" s="19" t="n"/>
      <c r="G205" s="23">
        <f>IF(OR(E205="",F205=""),"",IF(E205=0,0,F205/E205))</f>
        <v/>
      </c>
      <c r="H205" s="19" t="n"/>
      <c r="I205" s="17">
        <f>IF(OR(E205="",H205=""),"",IF(E205&gt;=H205,"Đủ","Không đủ"))</f>
        <v/>
      </c>
      <c r="J205" s="19" t="n"/>
      <c r="K205" s="7">
        <f>IF(J205="","",IF(AND(LOWER(J205)="x",I205="Đủ"),IF(A205="Tháng",'Quy dinh'!$B$8,IF(A205="Tuần",'Quy dinh'!$B$7,0)),0))</f>
        <v/>
      </c>
    </row>
    <row r="206">
      <c r="A206" s="19" t="n"/>
      <c r="B206" s="19" t="n"/>
      <c r="C206" s="19" t="n"/>
      <c r="D206" s="19" t="n"/>
      <c r="E206" s="19" t="n"/>
      <c r="F206" s="19" t="n"/>
      <c r="G206" s="23">
        <f>IF(OR(E206="",F206=""),"",IF(E206=0,0,F206/E206))</f>
        <v/>
      </c>
      <c r="H206" s="19" t="n"/>
      <c r="I206" s="17">
        <f>IF(OR(E206="",H206=""),"",IF(E206&gt;=H206,"Đủ","Không đủ"))</f>
        <v/>
      </c>
      <c r="J206" s="19" t="n"/>
      <c r="K206" s="7">
        <f>IF(J206="","",IF(AND(LOWER(J206)="x",I206="Đủ"),IF(A206="Tháng",'Quy dinh'!$B$8,IF(A206="Tuần",'Quy dinh'!$B$7,0)),0))</f>
        <v/>
      </c>
    </row>
    <row r="207">
      <c r="A207" s="19" t="n"/>
      <c r="B207" s="19" t="n"/>
      <c r="C207" s="19" t="n"/>
      <c r="D207" s="19" t="n"/>
      <c r="E207" s="19" t="n"/>
      <c r="F207" s="19" t="n"/>
      <c r="G207" s="23">
        <f>IF(OR(E207="",F207=""),"",IF(E207=0,0,F207/E207))</f>
        <v/>
      </c>
      <c r="H207" s="19" t="n"/>
      <c r="I207" s="17">
        <f>IF(OR(E207="",H207=""),"",IF(E207&gt;=H207,"Đủ","Không đủ"))</f>
        <v/>
      </c>
      <c r="J207" s="19" t="n"/>
      <c r="K207" s="7">
        <f>IF(J207="","",IF(AND(LOWER(J207)="x",I207="Đủ"),IF(A207="Tháng",'Quy dinh'!$B$8,IF(A207="Tuần",'Quy dinh'!$B$7,0)),0))</f>
        <v/>
      </c>
    </row>
    <row r="208">
      <c r="A208" s="19" t="n"/>
      <c r="B208" s="19" t="n"/>
      <c r="C208" s="19" t="n"/>
      <c r="D208" s="19" t="n"/>
      <c r="E208" s="19" t="n"/>
      <c r="F208" s="19" t="n"/>
      <c r="G208" s="23">
        <f>IF(OR(E208="",F208=""),"",IF(E208=0,0,F208/E208))</f>
        <v/>
      </c>
      <c r="H208" s="19" t="n"/>
      <c r="I208" s="17">
        <f>IF(OR(E208="",H208=""),"",IF(E208&gt;=H208,"Đủ","Không đủ"))</f>
        <v/>
      </c>
      <c r="J208" s="19" t="n"/>
      <c r="K208" s="7">
        <f>IF(J208="","",IF(AND(LOWER(J208)="x",I208="Đủ"),IF(A208="Tháng",'Quy dinh'!$B$8,IF(A208="Tuần",'Quy dinh'!$B$7,0)),0))</f>
        <v/>
      </c>
    </row>
    <row r="209">
      <c r="A209" s="19" t="n"/>
      <c r="B209" s="19" t="n"/>
      <c r="C209" s="19" t="n"/>
      <c r="D209" s="19" t="n"/>
      <c r="E209" s="19" t="n"/>
      <c r="F209" s="19" t="n"/>
      <c r="G209" s="23">
        <f>IF(OR(E209="",F209=""),"",IF(E209=0,0,F209/E209))</f>
        <v/>
      </c>
      <c r="H209" s="19" t="n"/>
      <c r="I209" s="17">
        <f>IF(OR(E209="",H209=""),"",IF(E209&gt;=H209,"Đủ","Không đủ"))</f>
        <v/>
      </c>
      <c r="J209" s="19" t="n"/>
      <c r="K209" s="7">
        <f>IF(J209="","",IF(AND(LOWER(J209)="x",I209="Đủ"),IF(A209="Tháng",'Quy dinh'!$B$8,IF(A209="Tuần",'Quy dinh'!$B$7,0)),0))</f>
        <v/>
      </c>
    </row>
    <row r="210">
      <c r="A210" s="19" t="n"/>
      <c r="B210" s="19" t="n"/>
      <c r="C210" s="19" t="n"/>
      <c r="D210" s="19" t="n"/>
      <c r="E210" s="19" t="n"/>
      <c r="F210" s="19" t="n"/>
      <c r="G210" s="23">
        <f>IF(OR(E210="",F210=""),"",IF(E210=0,0,F210/E210))</f>
        <v/>
      </c>
      <c r="H210" s="19" t="n"/>
      <c r="I210" s="17">
        <f>IF(OR(E210="",H210=""),"",IF(E210&gt;=H210,"Đủ","Không đủ"))</f>
        <v/>
      </c>
      <c r="J210" s="19" t="n"/>
      <c r="K210" s="7">
        <f>IF(J210="","",IF(AND(LOWER(J210)="x",I210="Đủ"),IF(A210="Tháng",'Quy dinh'!$B$8,IF(A210="Tuần",'Quy dinh'!$B$7,0)),0))</f>
        <v/>
      </c>
    </row>
    <row r="211">
      <c r="A211" s="19" t="n"/>
      <c r="B211" s="19" t="n"/>
      <c r="C211" s="19" t="n"/>
      <c r="D211" s="19" t="n"/>
      <c r="E211" s="19" t="n"/>
      <c r="F211" s="19" t="n"/>
      <c r="G211" s="23">
        <f>IF(OR(E211="",F211=""),"",IF(E211=0,0,F211/E211))</f>
        <v/>
      </c>
      <c r="H211" s="19" t="n"/>
      <c r="I211" s="17">
        <f>IF(OR(E211="",H211=""),"",IF(E211&gt;=H211,"Đủ","Không đủ"))</f>
        <v/>
      </c>
      <c r="J211" s="19" t="n"/>
      <c r="K211" s="7">
        <f>IF(J211="","",IF(AND(LOWER(J211)="x",I211="Đủ"),IF(A211="Tháng",'Quy dinh'!$B$8,IF(A211="Tuần",'Quy dinh'!$B$7,0)),0))</f>
        <v/>
      </c>
    </row>
    <row r="212">
      <c r="A212" s="19" t="n"/>
      <c r="B212" s="19" t="n"/>
      <c r="C212" s="19" t="n"/>
      <c r="D212" s="19" t="n"/>
      <c r="E212" s="19" t="n"/>
      <c r="F212" s="19" t="n"/>
      <c r="G212" s="23">
        <f>IF(OR(E212="",F212=""),"",IF(E212=0,0,F212/E212))</f>
        <v/>
      </c>
      <c r="H212" s="19" t="n"/>
      <c r="I212" s="17">
        <f>IF(OR(E212="",H212=""),"",IF(E212&gt;=H212,"Đủ","Không đủ"))</f>
        <v/>
      </c>
      <c r="J212" s="19" t="n"/>
      <c r="K212" s="7">
        <f>IF(J212="","",IF(AND(LOWER(J212)="x",I212="Đủ"),IF(A212="Tháng",'Quy dinh'!$B$8,IF(A212="Tuần",'Quy dinh'!$B$7,0)),0))</f>
        <v/>
      </c>
    </row>
    <row r="213">
      <c r="A213" s="19" t="n"/>
      <c r="B213" s="19" t="n"/>
      <c r="C213" s="19" t="n"/>
      <c r="D213" s="19" t="n"/>
      <c r="E213" s="19" t="n"/>
      <c r="F213" s="19" t="n"/>
      <c r="G213" s="23">
        <f>IF(OR(E213="",F213=""),"",IF(E213=0,0,F213/E213))</f>
        <v/>
      </c>
      <c r="H213" s="19" t="n"/>
      <c r="I213" s="17">
        <f>IF(OR(E213="",H213=""),"",IF(E213&gt;=H213,"Đủ","Không đủ"))</f>
        <v/>
      </c>
      <c r="J213" s="19" t="n"/>
      <c r="K213" s="7">
        <f>IF(J213="","",IF(AND(LOWER(J213)="x",I213="Đủ"),IF(A213="Tháng",'Quy dinh'!$B$8,IF(A213="Tuần",'Quy dinh'!$B$7,0)),0))</f>
        <v/>
      </c>
    </row>
    <row r="214">
      <c r="A214" s="19" t="n"/>
      <c r="B214" s="19" t="n"/>
      <c r="C214" s="19" t="n"/>
      <c r="D214" s="19" t="n"/>
      <c r="E214" s="19" t="n"/>
      <c r="F214" s="19" t="n"/>
      <c r="G214" s="23">
        <f>IF(OR(E214="",F214=""),"",IF(E214=0,0,F214/E214))</f>
        <v/>
      </c>
      <c r="H214" s="19" t="n"/>
      <c r="I214" s="17">
        <f>IF(OR(E214="",H214=""),"",IF(E214&gt;=H214,"Đủ","Không đủ"))</f>
        <v/>
      </c>
      <c r="J214" s="19" t="n"/>
      <c r="K214" s="7">
        <f>IF(J214="","",IF(AND(LOWER(J214)="x",I214="Đủ"),IF(A214="Tháng",'Quy dinh'!$B$8,IF(A214="Tuần",'Quy dinh'!$B$7,0)),0))</f>
        <v/>
      </c>
    </row>
    <row r="215">
      <c r="A215" s="19" t="n"/>
      <c r="B215" s="19" t="n"/>
      <c r="C215" s="19" t="n"/>
      <c r="D215" s="19" t="n"/>
      <c r="E215" s="19" t="n"/>
      <c r="F215" s="19" t="n"/>
      <c r="G215" s="23">
        <f>IF(OR(E215="",F215=""),"",IF(E215=0,0,F215/E215))</f>
        <v/>
      </c>
      <c r="H215" s="19" t="n"/>
      <c r="I215" s="17">
        <f>IF(OR(E215="",H215=""),"",IF(E215&gt;=H215,"Đủ","Không đủ"))</f>
        <v/>
      </c>
      <c r="J215" s="19" t="n"/>
      <c r="K215" s="7">
        <f>IF(J215="","",IF(AND(LOWER(J215)="x",I215="Đủ"),IF(A215="Tháng",'Quy dinh'!$B$8,IF(A215="Tuần",'Quy dinh'!$B$7,0)),0))</f>
        <v/>
      </c>
    </row>
    <row r="216">
      <c r="A216" s="19" t="n"/>
      <c r="B216" s="19" t="n"/>
      <c r="C216" s="19" t="n"/>
      <c r="D216" s="19" t="n"/>
      <c r="E216" s="19" t="n"/>
      <c r="F216" s="19" t="n"/>
      <c r="G216" s="23">
        <f>IF(OR(E216="",F216=""),"",IF(E216=0,0,F216/E216))</f>
        <v/>
      </c>
      <c r="H216" s="19" t="n"/>
      <c r="I216" s="17">
        <f>IF(OR(E216="",H216=""),"",IF(E216&gt;=H216,"Đủ","Không đủ"))</f>
        <v/>
      </c>
      <c r="J216" s="19" t="n"/>
      <c r="K216" s="7">
        <f>IF(J216="","",IF(AND(LOWER(J216)="x",I216="Đủ"),IF(A216="Tháng",'Quy dinh'!$B$8,IF(A216="Tuần",'Quy dinh'!$B$7,0)),0))</f>
        <v/>
      </c>
    </row>
    <row r="217">
      <c r="A217" s="19" t="n"/>
      <c r="B217" s="19" t="n"/>
      <c r="C217" s="19" t="n"/>
      <c r="D217" s="19" t="n"/>
      <c r="E217" s="19" t="n"/>
      <c r="F217" s="19" t="n"/>
      <c r="G217" s="23">
        <f>IF(OR(E217="",F217=""),"",IF(E217=0,0,F217/E217))</f>
        <v/>
      </c>
      <c r="H217" s="19" t="n"/>
      <c r="I217" s="17">
        <f>IF(OR(E217="",H217=""),"",IF(E217&gt;=H217,"Đủ","Không đủ"))</f>
        <v/>
      </c>
      <c r="J217" s="19" t="n"/>
      <c r="K217" s="7">
        <f>IF(J217="","",IF(AND(LOWER(J217)="x",I217="Đủ"),IF(A217="Tháng",'Quy dinh'!$B$8,IF(A217="Tuần",'Quy dinh'!$B$7,0)),0))</f>
        <v/>
      </c>
    </row>
    <row r="218">
      <c r="A218" s="19" t="n"/>
      <c r="B218" s="19" t="n"/>
      <c r="C218" s="19" t="n"/>
      <c r="D218" s="19" t="n"/>
      <c r="E218" s="19" t="n"/>
      <c r="F218" s="19" t="n"/>
      <c r="G218" s="23">
        <f>IF(OR(E218="",F218=""),"",IF(E218=0,0,F218/E218))</f>
        <v/>
      </c>
      <c r="H218" s="19" t="n"/>
      <c r="I218" s="17">
        <f>IF(OR(E218="",H218=""),"",IF(E218&gt;=H218,"Đủ","Không đủ"))</f>
        <v/>
      </c>
      <c r="J218" s="19" t="n"/>
      <c r="K218" s="7">
        <f>IF(J218="","",IF(AND(LOWER(J218)="x",I218="Đủ"),IF(A218="Tháng",'Quy dinh'!$B$8,IF(A218="Tuần",'Quy dinh'!$B$7,0)),0))</f>
        <v/>
      </c>
    </row>
    <row r="219">
      <c r="A219" s="19" t="n"/>
      <c r="B219" s="19" t="n"/>
      <c r="C219" s="19" t="n"/>
      <c r="D219" s="19" t="n"/>
      <c r="E219" s="19" t="n"/>
      <c r="F219" s="19" t="n"/>
      <c r="G219" s="23">
        <f>IF(OR(E219="",F219=""),"",IF(E219=0,0,F219/E219))</f>
        <v/>
      </c>
      <c r="H219" s="19" t="n"/>
      <c r="I219" s="17">
        <f>IF(OR(E219="",H219=""),"",IF(E219&gt;=H219,"Đủ","Không đủ"))</f>
        <v/>
      </c>
      <c r="J219" s="19" t="n"/>
      <c r="K219" s="7">
        <f>IF(J219="","",IF(AND(LOWER(J219)="x",I219="Đủ"),IF(A219="Tháng",'Quy dinh'!$B$8,IF(A219="Tuần",'Quy dinh'!$B$7,0)),0))</f>
        <v/>
      </c>
    </row>
    <row r="220">
      <c r="A220" s="19" t="n"/>
      <c r="B220" s="19" t="n"/>
      <c r="C220" s="19" t="n"/>
      <c r="D220" s="19" t="n"/>
      <c r="E220" s="19" t="n"/>
      <c r="F220" s="19" t="n"/>
      <c r="G220" s="23">
        <f>IF(OR(E220="",F220=""),"",IF(E220=0,0,F220/E220))</f>
        <v/>
      </c>
      <c r="H220" s="19" t="n"/>
      <c r="I220" s="17">
        <f>IF(OR(E220="",H220=""),"",IF(E220&gt;=H220,"Đủ","Không đủ"))</f>
        <v/>
      </c>
      <c r="J220" s="19" t="n"/>
      <c r="K220" s="7">
        <f>IF(J220="","",IF(AND(LOWER(J220)="x",I220="Đủ"),IF(A220="Tháng",'Quy dinh'!$B$8,IF(A220="Tuần",'Quy dinh'!$B$7,0)),0))</f>
        <v/>
      </c>
    </row>
    <row r="221">
      <c r="A221" s="19" t="n"/>
      <c r="B221" s="19" t="n"/>
      <c r="C221" s="19" t="n"/>
      <c r="D221" s="19" t="n"/>
      <c r="E221" s="19" t="n"/>
      <c r="F221" s="19" t="n"/>
      <c r="G221" s="23">
        <f>IF(OR(E221="",F221=""),"",IF(E221=0,0,F221/E221))</f>
        <v/>
      </c>
      <c r="H221" s="19" t="n"/>
      <c r="I221" s="17">
        <f>IF(OR(E221="",H221=""),"",IF(E221&gt;=H221,"Đủ","Không đủ"))</f>
        <v/>
      </c>
      <c r="J221" s="19" t="n"/>
      <c r="K221" s="7">
        <f>IF(J221="","",IF(AND(LOWER(J221)="x",I221="Đủ"),IF(A221="Tháng",'Quy dinh'!$B$8,IF(A221="Tuần",'Quy dinh'!$B$7,0)),0))</f>
        <v/>
      </c>
    </row>
    <row r="222">
      <c r="A222" s="19" t="n"/>
      <c r="B222" s="19" t="n"/>
      <c r="C222" s="19" t="n"/>
      <c r="D222" s="19" t="n"/>
      <c r="E222" s="19" t="n"/>
      <c r="F222" s="19" t="n"/>
      <c r="G222" s="23">
        <f>IF(OR(E222="",F222=""),"",IF(E222=0,0,F222/E222))</f>
        <v/>
      </c>
      <c r="H222" s="19" t="n"/>
      <c r="I222" s="17">
        <f>IF(OR(E222="",H222=""),"",IF(E222&gt;=H222,"Đủ","Không đủ"))</f>
        <v/>
      </c>
      <c r="J222" s="19" t="n"/>
      <c r="K222" s="7">
        <f>IF(J222="","",IF(AND(LOWER(J222)="x",I222="Đủ"),IF(A222="Tháng",'Quy dinh'!$B$8,IF(A222="Tuần",'Quy dinh'!$B$7,0)),0))</f>
        <v/>
      </c>
    </row>
    <row r="223">
      <c r="A223" s="19" t="n"/>
      <c r="B223" s="19" t="n"/>
      <c r="C223" s="19" t="n"/>
      <c r="D223" s="19" t="n"/>
      <c r="E223" s="19" t="n"/>
      <c r="F223" s="19" t="n"/>
      <c r="G223" s="23">
        <f>IF(OR(E223="",F223=""),"",IF(E223=0,0,F223/E223))</f>
        <v/>
      </c>
      <c r="H223" s="19" t="n"/>
      <c r="I223" s="17">
        <f>IF(OR(E223="",H223=""),"",IF(E223&gt;=H223,"Đủ","Không đủ"))</f>
        <v/>
      </c>
      <c r="J223" s="19" t="n"/>
      <c r="K223" s="7">
        <f>IF(J223="","",IF(AND(LOWER(J223)="x",I223="Đủ"),IF(A223="Tháng",'Quy dinh'!$B$8,IF(A223="Tuần",'Quy dinh'!$B$7,0)),0))</f>
        <v/>
      </c>
    </row>
    <row r="224">
      <c r="A224" s="19" t="n"/>
      <c r="B224" s="19" t="n"/>
      <c r="C224" s="19" t="n"/>
      <c r="D224" s="19" t="n"/>
      <c r="E224" s="19" t="n"/>
      <c r="F224" s="19" t="n"/>
      <c r="G224" s="23">
        <f>IF(OR(E224="",F224=""),"",IF(E224=0,0,F224/E224))</f>
        <v/>
      </c>
      <c r="H224" s="19" t="n"/>
      <c r="I224" s="17">
        <f>IF(OR(E224="",H224=""),"",IF(E224&gt;=H224,"Đủ","Không đủ"))</f>
        <v/>
      </c>
      <c r="J224" s="19" t="n"/>
      <c r="K224" s="7">
        <f>IF(J224="","",IF(AND(LOWER(J224)="x",I224="Đủ"),IF(A224="Tháng",'Quy dinh'!$B$8,IF(A224="Tuần",'Quy dinh'!$B$7,0)),0))</f>
        <v/>
      </c>
    </row>
    <row r="225">
      <c r="A225" s="19" t="n"/>
      <c r="B225" s="19" t="n"/>
      <c r="C225" s="19" t="n"/>
      <c r="D225" s="19" t="n"/>
      <c r="E225" s="19" t="n"/>
      <c r="F225" s="19" t="n"/>
      <c r="G225" s="23">
        <f>IF(OR(E225="",F225=""),"",IF(E225=0,0,F225/E225))</f>
        <v/>
      </c>
      <c r="H225" s="19" t="n"/>
      <c r="I225" s="17">
        <f>IF(OR(E225="",H225=""),"",IF(E225&gt;=H225,"Đủ","Không đủ"))</f>
        <v/>
      </c>
      <c r="J225" s="19" t="n"/>
      <c r="K225" s="7">
        <f>IF(J225="","",IF(AND(LOWER(J225)="x",I225="Đủ"),IF(A225="Tháng",'Quy dinh'!$B$8,IF(A225="Tuần",'Quy dinh'!$B$7,0)),0))</f>
        <v/>
      </c>
    </row>
    <row r="226">
      <c r="A226" s="19" t="n"/>
      <c r="B226" s="19" t="n"/>
      <c r="C226" s="19" t="n"/>
      <c r="D226" s="19" t="n"/>
      <c r="E226" s="19" t="n"/>
      <c r="F226" s="19" t="n"/>
      <c r="G226" s="23">
        <f>IF(OR(E226="",F226=""),"",IF(E226=0,0,F226/E226))</f>
        <v/>
      </c>
      <c r="H226" s="19" t="n"/>
      <c r="I226" s="17">
        <f>IF(OR(E226="",H226=""),"",IF(E226&gt;=H226,"Đủ","Không đủ"))</f>
        <v/>
      </c>
      <c r="J226" s="19" t="n"/>
      <c r="K226" s="7">
        <f>IF(J226="","",IF(AND(LOWER(J226)="x",I226="Đủ"),IF(A226="Tháng",'Quy dinh'!$B$8,IF(A226="Tuần",'Quy dinh'!$B$7,0)),0))</f>
        <v/>
      </c>
    </row>
    <row r="227">
      <c r="A227" s="19" t="n"/>
      <c r="B227" s="19" t="n"/>
      <c r="C227" s="19" t="n"/>
      <c r="D227" s="19" t="n"/>
      <c r="E227" s="19" t="n"/>
      <c r="F227" s="19" t="n"/>
      <c r="G227" s="23">
        <f>IF(OR(E227="",F227=""),"",IF(E227=0,0,F227/E227))</f>
        <v/>
      </c>
      <c r="H227" s="19" t="n"/>
      <c r="I227" s="17">
        <f>IF(OR(E227="",H227=""),"",IF(E227&gt;=H227,"Đủ","Không đủ"))</f>
        <v/>
      </c>
      <c r="J227" s="19" t="n"/>
      <c r="K227" s="7">
        <f>IF(J227="","",IF(AND(LOWER(J227)="x",I227="Đủ"),IF(A227="Tháng",'Quy dinh'!$B$8,IF(A227="Tuần",'Quy dinh'!$B$7,0)),0))</f>
        <v/>
      </c>
    </row>
    <row r="228">
      <c r="A228" s="19" t="n"/>
      <c r="B228" s="19" t="n"/>
      <c r="C228" s="19" t="n"/>
      <c r="D228" s="19" t="n"/>
      <c r="E228" s="19" t="n"/>
      <c r="F228" s="19" t="n"/>
      <c r="G228" s="23">
        <f>IF(OR(E228="",F228=""),"",IF(E228=0,0,F228/E228))</f>
        <v/>
      </c>
      <c r="H228" s="19" t="n"/>
      <c r="I228" s="17">
        <f>IF(OR(E228="",H228=""),"",IF(E228&gt;=H228,"Đủ","Không đủ"))</f>
        <v/>
      </c>
      <c r="J228" s="19" t="n"/>
      <c r="K228" s="7">
        <f>IF(J228="","",IF(AND(LOWER(J228)="x",I228="Đủ"),IF(A228="Tháng",'Quy dinh'!$B$8,IF(A228="Tuần",'Quy dinh'!$B$7,0)),0))</f>
        <v/>
      </c>
    </row>
    <row r="229">
      <c r="A229" s="19" t="n"/>
      <c r="B229" s="19" t="n"/>
      <c r="C229" s="19" t="n"/>
      <c r="D229" s="19" t="n"/>
      <c r="E229" s="19" t="n"/>
      <c r="F229" s="19" t="n"/>
      <c r="G229" s="23">
        <f>IF(OR(E229="",F229=""),"",IF(E229=0,0,F229/E229))</f>
        <v/>
      </c>
      <c r="H229" s="19" t="n"/>
      <c r="I229" s="17">
        <f>IF(OR(E229="",H229=""),"",IF(E229&gt;=H229,"Đủ","Không đủ"))</f>
        <v/>
      </c>
      <c r="J229" s="19" t="n"/>
      <c r="K229" s="7">
        <f>IF(J229="","",IF(AND(LOWER(J229)="x",I229="Đủ"),IF(A229="Tháng",'Quy dinh'!$B$8,IF(A229="Tuần",'Quy dinh'!$B$7,0)),0))</f>
        <v/>
      </c>
    </row>
    <row r="230">
      <c r="A230" s="19" t="n"/>
      <c r="B230" s="19" t="n"/>
      <c r="C230" s="19" t="n"/>
      <c r="D230" s="19" t="n"/>
      <c r="E230" s="19" t="n"/>
      <c r="F230" s="19" t="n"/>
      <c r="G230" s="23">
        <f>IF(OR(E230="",F230=""),"",IF(E230=0,0,F230/E230))</f>
        <v/>
      </c>
      <c r="H230" s="19" t="n"/>
      <c r="I230" s="17">
        <f>IF(OR(E230="",H230=""),"",IF(E230&gt;=H230,"Đủ","Không đủ"))</f>
        <v/>
      </c>
      <c r="J230" s="19" t="n"/>
      <c r="K230" s="7">
        <f>IF(J230="","",IF(AND(LOWER(J230)="x",I230="Đủ"),IF(A230="Tháng",'Quy dinh'!$B$8,IF(A230="Tuần",'Quy dinh'!$B$7,0)),0))</f>
        <v/>
      </c>
    </row>
    <row r="231">
      <c r="A231" s="19" t="n"/>
      <c r="B231" s="19" t="n"/>
      <c r="C231" s="19" t="n"/>
      <c r="D231" s="19" t="n"/>
      <c r="E231" s="19" t="n"/>
      <c r="F231" s="19" t="n"/>
      <c r="G231" s="23">
        <f>IF(OR(E231="",F231=""),"",IF(E231=0,0,F231/E231))</f>
        <v/>
      </c>
      <c r="H231" s="19" t="n"/>
      <c r="I231" s="17">
        <f>IF(OR(E231="",H231=""),"",IF(E231&gt;=H231,"Đủ","Không đủ"))</f>
        <v/>
      </c>
      <c r="J231" s="19" t="n"/>
      <c r="K231" s="7">
        <f>IF(J231="","",IF(AND(LOWER(J231)="x",I231="Đủ"),IF(A231="Tháng",'Quy dinh'!$B$8,IF(A231="Tuần",'Quy dinh'!$B$7,0)),0))</f>
        <v/>
      </c>
    </row>
    <row r="232">
      <c r="A232" s="19" t="n"/>
      <c r="B232" s="19" t="n"/>
      <c r="C232" s="19" t="n"/>
      <c r="D232" s="19" t="n"/>
      <c r="E232" s="19" t="n"/>
      <c r="F232" s="19" t="n"/>
      <c r="G232" s="23">
        <f>IF(OR(E232="",F232=""),"",IF(E232=0,0,F232/E232))</f>
        <v/>
      </c>
      <c r="H232" s="19" t="n"/>
      <c r="I232" s="17">
        <f>IF(OR(E232="",H232=""),"",IF(E232&gt;=H232,"Đủ","Không đủ"))</f>
        <v/>
      </c>
      <c r="J232" s="19" t="n"/>
      <c r="K232" s="7">
        <f>IF(J232="","",IF(AND(LOWER(J232)="x",I232="Đủ"),IF(A232="Tháng",'Quy dinh'!$B$8,IF(A232="Tuần",'Quy dinh'!$B$7,0)),0))</f>
        <v/>
      </c>
    </row>
    <row r="233">
      <c r="A233" s="19" t="n"/>
      <c r="B233" s="19" t="n"/>
      <c r="C233" s="19" t="n"/>
      <c r="D233" s="19" t="n"/>
      <c r="E233" s="19" t="n"/>
      <c r="F233" s="19" t="n"/>
      <c r="G233" s="23">
        <f>IF(OR(E233="",F233=""),"",IF(E233=0,0,F233/E233))</f>
        <v/>
      </c>
      <c r="H233" s="19" t="n"/>
      <c r="I233" s="17">
        <f>IF(OR(E233="",H233=""),"",IF(E233&gt;=H233,"Đủ","Không đủ"))</f>
        <v/>
      </c>
      <c r="J233" s="19" t="n"/>
      <c r="K233" s="7">
        <f>IF(J233="","",IF(AND(LOWER(J233)="x",I233="Đủ"),IF(A233="Tháng",'Quy dinh'!$B$8,IF(A233="Tuần",'Quy dinh'!$B$7,0)),0))</f>
        <v/>
      </c>
    </row>
    <row r="234">
      <c r="A234" s="19" t="n"/>
      <c r="B234" s="19" t="n"/>
      <c r="C234" s="19" t="n"/>
      <c r="D234" s="19" t="n"/>
      <c r="E234" s="19" t="n"/>
      <c r="F234" s="19" t="n"/>
      <c r="G234" s="23">
        <f>IF(OR(E234="",F234=""),"",IF(E234=0,0,F234/E234))</f>
        <v/>
      </c>
      <c r="H234" s="19" t="n"/>
      <c r="I234" s="17">
        <f>IF(OR(E234="",H234=""),"",IF(E234&gt;=H234,"Đủ","Không đủ"))</f>
        <v/>
      </c>
      <c r="J234" s="19" t="n"/>
      <c r="K234" s="7">
        <f>IF(J234="","",IF(AND(LOWER(J234)="x",I234="Đủ"),IF(A234="Tháng",'Quy dinh'!$B$8,IF(A234="Tuần",'Quy dinh'!$B$7,0)),0))</f>
        <v/>
      </c>
    </row>
    <row r="235">
      <c r="A235" s="19" t="n"/>
      <c r="B235" s="19" t="n"/>
      <c r="C235" s="19" t="n"/>
      <c r="D235" s="19" t="n"/>
      <c r="E235" s="19" t="n"/>
      <c r="F235" s="19" t="n"/>
      <c r="G235" s="23">
        <f>IF(OR(E235="",F235=""),"",IF(E235=0,0,F235/E235))</f>
        <v/>
      </c>
      <c r="H235" s="19" t="n"/>
      <c r="I235" s="17">
        <f>IF(OR(E235="",H235=""),"",IF(E235&gt;=H235,"Đủ","Không đủ"))</f>
        <v/>
      </c>
      <c r="J235" s="19" t="n"/>
      <c r="K235" s="7">
        <f>IF(J235="","",IF(AND(LOWER(J235)="x",I235="Đủ"),IF(A235="Tháng",'Quy dinh'!$B$8,IF(A235="Tuần",'Quy dinh'!$B$7,0)),0))</f>
        <v/>
      </c>
    </row>
    <row r="236">
      <c r="A236" s="19" t="n"/>
      <c r="B236" s="19" t="n"/>
      <c r="C236" s="19" t="n"/>
      <c r="D236" s="19" t="n"/>
      <c r="E236" s="19" t="n"/>
      <c r="F236" s="19" t="n"/>
      <c r="G236" s="23">
        <f>IF(OR(E236="",F236=""),"",IF(E236=0,0,F236/E236))</f>
        <v/>
      </c>
      <c r="H236" s="19" t="n"/>
      <c r="I236" s="17">
        <f>IF(OR(E236="",H236=""),"",IF(E236&gt;=H236,"Đủ","Không đủ"))</f>
        <v/>
      </c>
      <c r="J236" s="19" t="n"/>
      <c r="K236" s="7">
        <f>IF(J236="","",IF(AND(LOWER(J236)="x",I236="Đủ"),IF(A236="Tháng",'Quy dinh'!$B$8,IF(A236="Tuần",'Quy dinh'!$B$7,0)),0))</f>
        <v/>
      </c>
    </row>
    <row r="237">
      <c r="A237" s="19" t="n"/>
      <c r="B237" s="19" t="n"/>
      <c r="C237" s="19" t="n"/>
      <c r="D237" s="19" t="n"/>
      <c r="E237" s="19" t="n"/>
      <c r="F237" s="19" t="n"/>
      <c r="G237" s="23">
        <f>IF(OR(E237="",F237=""),"",IF(E237=0,0,F237/E237))</f>
        <v/>
      </c>
      <c r="H237" s="19" t="n"/>
      <c r="I237" s="17">
        <f>IF(OR(E237="",H237=""),"",IF(E237&gt;=H237,"Đủ","Không đủ"))</f>
        <v/>
      </c>
      <c r="J237" s="19" t="n"/>
      <c r="K237" s="7">
        <f>IF(J237="","",IF(AND(LOWER(J237)="x",I237="Đủ"),IF(A237="Tháng",'Quy dinh'!$B$8,IF(A237="Tuần",'Quy dinh'!$B$7,0)),0))</f>
        <v/>
      </c>
    </row>
    <row r="238">
      <c r="A238" s="19" t="n"/>
      <c r="B238" s="19" t="n"/>
      <c r="C238" s="19" t="n"/>
      <c r="D238" s="19" t="n"/>
      <c r="E238" s="19" t="n"/>
      <c r="F238" s="19" t="n"/>
      <c r="G238" s="23">
        <f>IF(OR(E238="",F238=""),"",IF(E238=0,0,F238/E238))</f>
        <v/>
      </c>
      <c r="H238" s="19" t="n"/>
      <c r="I238" s="17">
        <f>IF(OR(E238="",H238=""),"",IF(E238&gt;=H238,"Đủ","Không đủ"))</f>
        <v/>
      </c>
      <c r="J238" s="19" t="n"/>
      <c r="K238" s="7">
        <f>IF(J238="","",IF(AND(LOWER(J238)="x",I238="Đủ"),IF(A238="Tháng",'Quy dinh'!$B$8,IF(A238="Tuần",'Quy dinh'!$B$7,0)),0))</f>
        <v/>
      </c>
    </row>
    <row r="239">
      <c r="A239" s="19" t="n"/>
      <c r="B239" s="19" t="n"/>
      <c r="C239" s="19" t="n"/>
      <c r="D239" s="19" t="n"/>
      <c r="E239" s="19" t="n"/>
      <c r="F239" s="19" t="n"/>
      <c r="G239" s="23">
        <f>IF(OR(E239="",F239=""),"",IF(E239=0,0,F239/E239))</f>
        <v/>
      </c>
      <c r="H239" s="19" t="n"/>
      <c r="I239" s="17">
        <f>IF(OR(E239="",H239=""),"",IF(E239&gt;=H239,"Đủ","Không đủ"))</f>
        <v/>
      </c>
      <c r="J239" s="19" t="n"/>
      <c r="K239" s="7">
        <f>IF(J239="","",IF(AND(LOWER(J239)="x",I239="Đủ"),IF(A239="Tháng",'Quy dinh'!$B$8,IF(A239="Tuần",'Quy dinh'!$B$7,0)),0))</f>
        <v/>
      </c>
    </row>
    <row r="240">
      <c r="A240" s="19" t="n"/>
      <c r="B240" s="19" t="n"/>
      <c r="C240" s="19" t="n"/>
      <c r="D240" s="19" t="n"/>
      <c r="E240" s="19" t="n"/>
      <c r="F240" s="19" t="n"/>
      <c r="G240" s="23">
        <f>IF(OR(E240="",F240=""),"",IF(E240=0,0,F240/E240))</f>
        <v/>
      </c>
      <c r="H240" s="19" t="n"/>
      <c r="I240" s="17">
        <f>IF(OR(E240="",H240=""),"",IF(E240&gt;=H240,"Đủ","Không đủ"))</f>
        <v/>
      </c>
      <c r="J240" s="19" t="n"/>
      <c r="K240" s="7">
        <f>IF(J240="","",IF(AND(LOWER(J240)="x",I240="Đủ"),IF(A240="Tháng",'Quy dinh'!$B$8,IF(A240="Tuần",'Quy dinh'!$B$7,0)),0))</f>
        <v/>
      </c>
    </row>
    <row r="241">
      <c r="A241" s="19" t="n"/>
      <c r="B241" s="19" t="n"/>
      <c r="C241" s="19" t="n"/>
      <c r="D241" s="19" t="n"/>
      <c r="E241" s="19" t="n"/>
      <c r="F241" s="19" t="n"/>
      <c r="G241" s="23">
        <f>IF(OR(E241="",F241=""),"",IF(E241=0,0,F241/E241))</f>
        <v/>
      </c>
      <c r="H241" s="19" t="n"/>
      <c r="I241" s="17">
        <f>IF(OR(E241="",H241=""),"",IF(E241&gt;=H241,"Đủ","Không đủ"))</f>
        <v/>
      </c>
      <c r="J241" s="19" t="n"/>
      <c r="K241" s="7">
        <f>IF(J241="","",IF(AND(LOWER(J241)="x",I241="Đủ"),IF(A241="Tháng",'Quy dinh'!$B$8,IF(A241="Tuần",'Quy dinh'!$B$7,0)),0))</f>
        <v/>
      </c>
    </row>
    <row r="242">
      <c r="A242" s="19" t="n"/>
      <c r="B242" s="19" t="n"/>
      <c r="C242" s="19" t="n"/>
      <c r="D242" s="19" t="n"/>
      <c r="E242" s="19" t="n"/>
      <c r="F242" s="19" t="n"/>
      <c r="G242" s="23">
        <f>IF(OR(E242="",F242=""),"",IF(E242=0,0,F242/E242))</f>
        <v/>
      </c>
      <c r="H242" s="19" t="n"/>
      <c r="I242" s="17">
        <f>IF(OR(E242="",H242=""),"",IF(E242&gt;=H242,"Đủ","Không đủ"))</f>
        <v/>
      </c>
      <c r="J242" s="19" t="n"/>
      <c r="K242" s="7">
        <f>IF(J242="","",IF(AND(LOWER(J242)="x",I242="Đủ"),IF(A242="Tháng",'Quy dinh'!$B$8,IF(A242="Tuần",'Quy dinh'!$B$7,0)),0))</f>
        <v/>
      </c>
    </row>
    <row r="243">
      <c r="A243" s="19" t="n"/>
      <c r="B243" s="19" t="n"/>
      <c r="C243" s="19" t="n"/>
      <c r="D243" s="19" t="n"/>
      <c r="E243" s="19" t="n"/>
      <c r="F243" s="19" t="n"/>
      <c r="G243" s="23">
        <f>IF(OR(E243="",F243=""),"",IF(E243=0,0,F243/E243))</f>
        <v/>
      </c>
      <c r="H243" s="19" t="n"/>
      <c r="I243" s="17">
        <f>IF(OR(E243="",H243=""),"",IF(E243&gt;=H243,"Đủ","Không đủ"))</f>
        <v/>
      </c>
      <c r="J243" s="19" t="n"/>
      <c r="K243" s="7">
        <f>IF(J243="","",IF(AND(LOWER(J243)="x",I243="Đủ"),IF(A243="Tháng",'Quy dinh'!$B$8,IF(A243="Tuần",'Quy dinh'!$B$7,0)),0))</f>
        <v/>
      </c>
    </row>
    <row r="244">
      <c r="A244" s="19" t="n"/>
      <c r="B244" s="19" t="n"/>
      <c r="C244" s="19" t="n"/>
      <c r="D244" s="19" t="n"/>
      <c r="E244" s="19" t="n"/>
      <c r="F244" s="19" t="n"/>
      <c r="G244" s="23">
        <f>IF(OR(E244="",F244=""),"",IF(E244=0,0,F244/E244))</f>
        <v/>
      </c>
      <c r="H244" s="19" t="n"/>
      <c r="I244" s="17">
        <f>IF(OR(E244="",H244=""),"",IF(E244&gt;=H244,"Đủ","Không đủ"))</f>
        <v/>
      </c>
      <c r="J244" s="19" t="n"/>
      <c r="K244" s="7">
        <f>IF(J244="","",IF(AND(LOWER(J244)="x",I244="Đủ"),IF(A244="Tháng",'Quy dinh'!$B$8,IF(A244="Tuần",'Quy dinh'!$B$7,0)),0))</f>
        <v/>
      </c>
    </row>
    <row r="245">
      <c r="A245" s="19" t="n"/>
      <c r="B245" s="19" t="n"/>
      <c r="C245" s="19" t="n"/>
      <c r="D245" s="19" t="n"/>
      <c r="E245" s="19" t="n"/>
      <c r="F245" s="19" t="n"/>
      <c r="G245" s="23">
        <f>IF(OR(E245="",F245=""),"",IF(E245=0,0,F245/E245))</f>
        <v/>
      </c>
      <c r="H245" s="19" t="n"/>
      <c r="I245" s="17">
        <f>IF(OR(E245="",H245=""),"",IF(E245&gt;=H245,"Đủ","Không đủ"))</f>
        <v/>
      </c>
      <c r="J245" s="19" t="n"/>
      <c r="K245" s="7">
        <f>IF(J245="","",IF(AND(LOWER(J245)="x",I245="Đủ"),IF(A245="Tháng",'Quy dinh'!$B$8,IF(A245="Tuần",'Quy dinh'!$B$7,0)),0))</f>
        <v/>
      </c>
    </row>
    <row r="246">
      <c r="A246" s="19" t="n"/>
      <c r="B246" s="19" t="n"/>
      <c r="C246" s="19" t="n"/>
      <c r="D246" s="19" t="n"/>
      <c r="E246" s="19" t="n"/>
      <c r="F246" s="19" t="n"/>
      <c r="G246" s="23">
        <f>IF(OR(E246="",F246=""),"",IF(E246=0,0,F246/E246))</f>
        <v/>
      </c>
      <c r="H246" s="19" t="n"/>
      <c r="I246" s="17">
        <f>IF(OR(E246="",H246=""),"",IF(E246&gt;=H246,"Đủ","Không đủ"))</f>
        <v/>
      </c>
      <c r="J246" s="19" t="n"/>
      <c r="K246" s="7">
        <f>IF(J246="","",IF(AND(LOWER(J246)="x",I246="Đủ"),IF(A246="Tháng",'Quy dinh'!$B$8,IF(A246="Tuần",'Quy dinh'!$B$7,0)),0))</f>
        <v/>
      </c>
    </row>
    <row r="247">
      <c r="A247" s="19" t="n"/>
      <c r="B247" s="19" t="n"/>
      <c r="C247" s="19" t="n"/>
      <c r="D247" s="19" t="n"/>
      <c r="E247" s="19" t="n"/>
      <c r="F247" s="19" t="n"/>
      <c r="G247" s="23">
        <f>IF(OR(E247="",F247=""),"",IF(E247=0,0,F247/E247))</f>
        <v/>
      </c>
      <c r="H247" s="19" t="n"/>
      <c r="I247" s="17">
        <f>IF(OR(E247="",H247=""),"",IF(E247&gt;=H247,"Đủ","Không đủ"))</f>
        <v/>
      </c>
      <c r="J247" s="19" t="n"/>
      <c r="K247" s="7">
        <f>IF(J247="","",IF(AND(LOWER(J247)="x",I247="Đủ"),IF(A247="Tháng",'Quy dinh'!$B$8,IF(A247="Tuần",'Quy dinh'!$B$7,0)),0))</f>
        <v/>
      </c>
    </row>
    <row r="248">
      <c r="A248" s="19" t="n"/>
      <c r="B248" s="19" t="n"/>
      <c r="C248" s="19" t="n"/>
      <c r="D248" s="19" t="n"/>
      <c r="E248" s="19" t="n"/>
      <c r="F248" s="19" t="n"/>
      <c r="G248" s="23">
        <f>IF(OR(E248="",F248=""),"",IF(E248=0,0,F248/E248))</f>
        <v/>
      </c>
      <c r="H248" s="19" t="n"/>
      <c r="I248" s="17">
        <f>IF(OR(E248="",H248=""),"",IF(E248&gt;=H248,"Đủ","Không đủ"))</f>
        <v/>
      </c>
      <c r="J248" s="19" t="n"/>
      <c r="K248" s="7">
        <f>IF(J248="","",IF(AND(LOWER(J248)="x",I248="Đủ"),IF(A248="Tháng",'Quy dinh'!$B$8,IF(A248="Tuần",'Quy dinh'!$B$7,0)),0))</f>
        <v/>
      </c>
    </row>
    <row r="249">
      <c r="A249" s="19" t="n"/>
      <c r="B249" s="19" t="n"/>
      <c r="C249" s="19" t="n"/>
      <c r="D249" s="19" t="n"/>
      <c r="E249" s="19" t="n"/>
      <c r="F249" s="19" t="n"/>
      <c r="G249" s="23">
        <f>IF(OR(E249="",F249=""),"",IF(E249=0,0,F249/E249))</f>
        <v/>
      </c>
      <c r="H249" s="19" t="n"/>
      <c r="I249" s="17">
        <f>IF(OR(E249="",H249=""),"",IF(E249&gt;=H249,"Đủ","Không đủ"))</f>
        <v/>
      </c>
      <c r="J249" s="19" t="n"/>
      <c r="K249" s="7">
        <f>IF(J249="","",IF(AND(LOWER(J249)="x",I249="Đủ"),IF(A249="Tháng",'Quy dinh'!$B$8,IF(A249="Tuần",'Quy dinh'!$B$7,0)),0))</f>
        <v/>
      </c>
    </row>
    <row r="250">
      <c r="A250" s="19" t="n"/>
      <c r="B250" s="19" t="n"/>
      <c r="C250" s="19" t="n"/>
      <c r="D250" s="19" t="n"/>
      <c r="E250" s="19" t="n"/>
      <c r="F250" s="19" t="n"/>
      <c r="G250" s="23">
        <f>IF(OR(E250="",F250=""),"",IF(E250=0,0,F250/E250))</f>
        <v/>
      </c>
      <c r="H250" s="19" t="n"/>
      <c r="I250" s="17">
        <f>IF(OR(E250="",H250=""),"",IF(E250&gt;=H250,"Đủ","Không đủ"))</f>
        <v/>
      </c>
      <c r="J250" s="19" t="n"/>
      <c r="K250" s="7">
        <f>IF(J250="","",IF(AND(LOWER(J250)="x",I250="Đủ"),IF(A250="Tháng",'Quy dinh'!$B$8,IF(A250="Tuần",'Quy dinh'!$B$7,0)),0))</f>
        <v/>
      </c>
    </row>
    <row r="251">
      <c r="A251" s="19" t="n"/>
      <c r="B251" s="19" t="n"/>
      <c r="C251" s="19" t="n"/>
      <c r="D251" s="19" t="n"/>
      <c r="E251" s="19" t="n"/>
      <c r="F251" s="19" t="n"/>
      <c r="G251" s="23">
        <f>IF(OR(E251="",F251=""),"",IF(E251=0,0,F251/E251))</f>
        <v/>
      </c>
      <c r="H251" s="19" t="n"/>
      <c r="I251" s="17">
        <f>IF(OR(E251="",H251=""),"",IF(E251&gt;=H251,"Đủ","Không đủ"))</f>
        <v/>
      </c>
      <c r="J251" s="19" t="n"/>
      <c r="K251" s="7">
        <f>IF(J251="","",IF(AND(LOWER(J251)="x",I251="Đủ"),IF(A251="Tháng",'Quy dinh'!$B$8,IF(A251="Tuần",'Quy dinh'!$B$7,0)),0))</f>
        <v/>
      </c>
    </row>
    <row r="252">
      <c r="A252" s="19" t="n"/>
      <c r="B252" s="19" t="n"/>
      <c r="C252" s="19" t="n"/>
      <c r="D252" s="19" t="n"/>
      <c r="E252" s="19" t="n"/>
      <c r="F252" s="19" t="n"/>
      <c r="G252" s="23">
        <f>IF(OR(E252="",F252=""),"",IF(E252=0,0,F252/E252))</f>
        <v/>
      </c>
      <c r="H252" s="19" t="n"/>
      <c r="I252" s="17">
        <f>IF(OR(E252="",H252=""),"",IF(E252&gt;=H252,"Đủ","Không đủ"))</f>
        <v/>
      </c>
      <c r="J252" s="19" t="n"/>
      <c r="K252" s="7">
        <f>IF(J252="","",IF(AND(LOWER(J252)="x",I252="Đủ"),IF(A252="Tháng",'Quy dinh'!$B$8,IF(A252="Tuần",'Quy dinh'!$B$7,0)),0))</f>
        <v/>
      </c>
    </row>
    <row r="253">
      <c r="A253" s="19" t="n"/>
      <c r="B253" s="19" t="n"/>
      <c r="C253" s="19" t="n"/>
      <c r="D253" s="19" t="n"/>
      <c r="E253" s="19" t="n"/>
      <c r="F253" s="19" t="n"/>
      <c r="G253" s="23">
        <f>IF(OR(E253="",F253=""),"",IF(E253=0,0,F253/E253))</f>
        <v/>
      </c>
      <c r="H253" s="19" t="n"/>
      <c r="I253" s="17">
        <f>IF(OR(E253="",H253=""),"",IF(E253&gt;=H253,"Đủ","Không đủ"))</f>
        <v/>
      </c>
      <c r="J253" s="19" t="n"/>
      <c r="K253" s="7">
        <f>IF(J253="","",IF(AND(LOWER(J253)="x",I253="Đủ"),IF(A253="Tháng",'Quy dinh'!$B$8,IF(A253="Tuần",'Quy dinh'!$B$7,0)),0))</f>
        <v/>
      </c>
    </row>
    <row r="254">
      <c r="A254" s="19" t="n"/>
      <c r="B254" s="19" t="n"/>
      <c r="C254" s="19" t="n"/>
      <c r="D254" s="19" t="n"/>
      <c r="E254" s="19" t="n"/>
      <c r="F254" s="19" t="n"/>
      <c r="G254" s="23">
        <f>IF(OR(E254="",F254=""),"",IF(E254=0,0,F254/E254))</f>
        <v/>
      </c>
      <c r="H254" s="19" t="n"/>
      <c r="I254" s="17">
        <f>IF(OR(E254="",H254=""),"",IF(E254&gt;=H254,"Đủ","Không đủ"))</f>
        <v/>
      </c>
      <c r="J254" s="19" t="n"/>
      <c r="K254" s="7">
        <f>IF(J254="","",IF(AND(LOWER(J254)="x",I254="Đủ"),IF(A254="Tháng",'Quy dinh'!$B$8,IF(A254="Tuần",'Quy dinh'!$B$7,0)),0))</f>
        <v/>
      </c>
    </row>
    <row r="255">
      <c r="A255" s="19" t="n"/>
      <c r="B255" s="19" t="n"/>
      <c r="C255" s="19" t="n"/>
      <c r="D255" s="19" t="n"/>
      <c r="E255" s="19" t="n"/>
      <c r="F255" s="19" t="n"/>
      <c r="G255" s="23">
        <f>IF(OR(E255="",F255=""),"",IF(E255=0,0,F255/E255))</f>
        <v/>
      </c>
      <c r="H255" s="19" t="n"/>
      <c r="I255" s="17">
        <f>IF(OR(E255="",H255=""),"",IF(E255&gt;=H255,"Đủ","Không đủ"))</f>
        <v/>
      </c>
      <c r="J255" s="19" t="n"/>
      <c r="K255" s="7">
        <f>IF(J255="","",IF(AND(LOWER(J255)="x",I255="Đủ"),IF(A255="Tháng",'Quy dinh'!$B$8,IF(A255="Tuần",'Quy dinh'!$B$7,0)),0))</f>
        <v/>
      </c>
    </row>
    <row r="256">
      <c r="A256" s="19" t="n"/>
      <c r="B256" s="19" t="n"/>
      <c r="C256" s="19" t="n"/>
      <c r="D256" s="19" t="n"/>
      <c r="E256" s="19" t="n"/>
      <c r="F256" s="19" t="n"/>
      <c r="G256" s="23">
        <f>IF(OR(E256="",F256=""),"",IF(E256=0,0,F256/E256))</f>
        <v/>
      </c>
      <c r="H256" s="19" t="n"/>
      <c r="I256" s="17">
        <f>IF(OR(E256="",H256=""),"",IF(E256&gt;=H256,"Đủ","Không đủ"))</f>
        <v/>
      </c>
      <c r="J256" s="19" t="n"/>
      <c r="K256" s="7">
        <f>IF(J256="","",IF(AND(LOWER(J256)="x",I256="Đủ"),IF(A256="Tháng",'Quy dinh'!$B$8,IF(A256="Tuần",'Quy dinh'!$B$7,0)),0))</f>
        <v/>
      </c>
    </row>
    <row r="257">
      <c r="A257" s="19" t="n"/>
      <c r="B257" s="19" t="n"/>
      <c r="C257" s="19" t="n"/>
      <c r="D257" s="19" t="n"/>
      <c r="E257" s="19" t="n"/>
      <c r="F257" s="19" t="n"/>
      <c r="G257" s="23">
        <f>IF(OR(E257="",F257=""),"",IF(E257=0,0,F257/E257))</f>
        <v/>
      </c>
      <c r="H257" s="19" t="n"/>
      <c r="I257" s="17">
        <f>IF(OR(E257="",H257=""),"",IF(E257&gt;=H257,"Đủ","Không đủ"))</f>
        <v/>
      </c>
      <c r="J257" s="19" t="n"/>
      <c r="K257" s="7">
        <f>IF(J257="","",IF(AND(LOWER(J257)="x",I257="Đủ"),IF(A257="Tháng",'Quy dinh'!$B$8,IF(A257="Tuần",'Quy dinh'!$B$7,0)),0))</f>
        <v/>
      </c>
    </row>
    <row r="258">
      <c r="A258" s="19" t="n"/>
      <c r="B258" s="19" t="n"/>
      <c r="C258" s="19" t="n"/>
      <c r="D258" s="19" t="n"/>
      <c r="E258" s="19" t="n"/>
      <c r="F258" s="19" t="n"/>
      <c r="G258" s="23">
        <f>IF(OR(E258="",F258=""),"",IF(E258=0,0,F258/E258))</f>
        <v/>
      </c>
      <c r="H258" s="19" t="n"/>
      <c r="I258" s="17">
        <f>IF(OR(E258="",H258=""),"",IF(E258&gt;=H258,"Đủ","Không đủ"))</f>
        <v/>
      </c>
      <c r="J258" s="19" t="n"/>
      <c r="K258" s="7">
        <f>IF(J258="","",IF(AND(LOWER(J258)="x",I258="Đủ"),IF(A258="Tháng",'Quy dinh'!$B$8,IF(A258="Tuần",'Quy dinh'!$B$7,0)),0))</f>
        <v/>
      </c>
    </row>
    <row r="259">
      <c r="A259" s="19" t="n"/>
      <c r="B259" s="19" t="n"/>
      <c r="C259" s="19" t="n"/>
      <c r="D259" s="19" t="n"/>
      <c r="E259" s="19" t="n"/>
      <c r="F259" s="19" t="n"/>
      <c r="G259" s="23">
        <f>IF(OR(E259="",F259=""),"",IF(E259=0,0,F259/E259))</f>
        <v/>
      </c>
      <c r="H259" s="19" t="n"/>
      <c r="I259" s="17">
        <f>IF(OR(E259="",H259=""),"",IF(E259&gt;=H259,"Đủ","Không đủ"))</f>
        <v/>
      </c>
      <c r="J259" s="19" t="n"/>
      <c r="K259" s="7">
        <f>IF(J259="","",IF(AND(LOWER(J259)="x",I259="Đủ"),IF(A259="Tháng",'Quy dinh'!$B$8,IF(A259="Tuần",'Quy dinh'!$B$7,0)),0))</f>
        <v/>
      </c>
    </row>
    <row r="260">
      <c r="A260" s="19" t="n"/>
      <c r="B260" s="19" t="n"/>
      <c r="C260" s="19" t="n"/>
      <c r="D260" s="19" t="n"/>
      <c r="E260" s="19" t="n"/>
      <c r="F260" s="19" t="n"/>
      <c r="G260" s="23">
        <f>IF(OR(E260="",F260=""),"",IF(E260=0,0,F260/E260))</f>
        <v/>
      </c>
      <c r="H260" s="19" t="n"/>
      <c r="I260" s="17">
        <f>IF(OR(E260="",H260=""),"",IF(E260&gt;=H260,"Đủ","Không đủ"))</f>
        <v/>
      </c>
      <c r="J260" s="19" t="n"/>
      <c r="K260" s="7">
        <f>IF(J260="","",IF(AND(LOWER(J260)="x",I260="Đủ"),IF(A260="Tháng",'Quy dinh'!$B$8,IF(A260="Tuần",'Quy dinh'!$B$7,0)),0))</f>
        <v/>
      </c>
    </row>
    <row r="261">
      <c r="A261" s="19" t="n"/>
      <c r="B261" s="19" t="n"/>
      <c r="C261" s="19" t="n"/>
      <c r="D261" s="19" t="n"/>
      <c r="E261" s="19" t="n"/>
      <c r="F261" s="19" t="n"/>
      <c r="G261" s="23">
        <f>IF(OR(E261="",F261=""),"",IF(E261=0,0,F261/E261))</f>
        <v/>
      </c>
      <c r="H261" s="19" t="n"/>
      <c r="I261" s="17">
        <f>IF(OR(E261="",H261=""),"",IF(E261&gt;=H261,"Đủ","Không đủ"))</f>
        <v/>
      </c>
      <c r="J261" s="19" t="n"/>
      <c r="K261" s="7">
        <f>IF(J261="","",IF(AND(LOWER(J261)="x",I261="Đủ"),IF(A261="Tháng",'Quy dinh'!$B$8,IF(A261="Tuần",'Quy dinh'!$B$7,0)),0))</f>
        <v/>
      </c>
    </row>
    <row r="262">
      <c r="A262" s="19" t="n"/>
      <c r="B262" s="19" t="n"/>
      <c r="C262" s="19" t="n"/>
      <c r="D262" s="19" t="n"/>
      <c r="E262" s="19" t="n"/>
      <c r="F262" s="19" t="n"/>
      <c r="G262" s="23">
        <f>IF(OR(E262="",F262=""),"",IF(E262=0,0,F262/E262))</f>
        <v/>
      </c>
      <c r="H262" s="19" t="n"/>
      <c r="I262" s="17">
        <f>IF(OR(E262="",H262=""),"",IF(E262&gt;=H262,"Đủ","Không đủ"))</f>
        <v/>
      </c>
      <c r="J262" s="19" t="n"/>
      <c r="K262" s="7">
        <f>IF(J262="","",IF(AND(LOWER(J262)="x",I262="Đủ"),IF(A262="Tháng",'Quy dinh'!$B$8,IF(A262="Tuần",'Quy dinh'!$B$7,0)),0))</f>
        <v/>
      </c>
    </row>
    <row r="263">
      <c r="A263" s="19" t="n"/>
      <c r="B263" s="19" t="n"/>
      <c r="C263" s="19" t="n"/>
      <c r="D263" s="19" t="n"/>
      <c r="E263" s="19" t="n"/>
      <c r="F263" s="19" t="n"/>
      <c r="G263" s="23">
        <f>IF(OR(E263="",F263=""),"",IF(E263=0,0,F263/E263))</f>
        <v/>
      </c>
      <c r="H263" s="19" t="n"/>
      <c r="I263" s="17">
        <f>IF(OR(E263="",H263=""),"",IF(E263&gt;=H263,"Đủ","Không đủ"))</f>
        <v/>
      </c>
      <c r="J263" s="19" t="n"/>
      <c r="K263" s="7">
        <f>IF(J263="","",IF(AND(LOWER(J263)="x",I263="Đủ"),IF(A263="Tháng",'Quy dinh'!$B$8,IF(A263="Tuần",'Quy dinh'!$B$7,0)),0))</f>
        <v/>
      </c>
    </row>
    <row r="264">
      <c r="A264" s="19" t="n"/>
      <c r="B264" s="19" t="n"/>
      <c r="C264" s="19" t="n"/>
      <c r="D264" s="19" t="n"/>
      <c r="E264" s="19" t="n"/>
      <c r="F264" s="19" t="n"/>
      <c r="G264" s="23">
        <f>IF(OR(E264="",F264=""),"",IF(E264=0,0,F264/E264))</f>
        <v/>
      </c>
      <c r="H264" s="19" t="n"/>
      <c r="I264" s="17">
        <f>IF(OR(E264="",H264=""),"",IF(E264&gt;=H264,"Đủ","Không đủ"))</f>
        <v/>
      </c>
      <c r="J264" s="19" t="n"/>
      <c r="K264" s="7">
        <f>IF(J264="","",IF(AND(LOWER(J264)="x",I264="Đủ"),IF(A264="Tháng",'Quy dinh'!$B$8,IF(A264="Tuần",'Quy dinh'!$B$7,0)),0))</f>
        <v/>
      </c>
    </row>
    <row r="265">
      <c r="A265" s="19" t="n"/>
      <c r="B265" s="19" t="n"/>
      <c r="C265" s="19" t="n"/>
      <c r="D265" s="19" t="n"/>
      <c r="E265" s="19" t="n"/>
      <c r="F265" s="19" t="n"/>
      <c r="G265" s="23">
        <f>IF(OR(E265="",F265=""),"",IF(E265=0,0,F265/E265))</f>
        <v/>
      </c>
      <c r="H265" s="19" t="n"/>
      <c r="I265" s="17">
        <f>IF(OR(E265="",H265=""),"",IF(E265&gt;=H265,"Đủ","Không đủ"))</f>
        <v/>
      </c>
      <c r="J265" s="19" t="n"/>
      <c r="K265" s="7">
        <f>IF(J265="","",IF(AND(LOWER(J265)="x",I265="Đủ"),IF(A265="Tháng",'Quy dinh'!$B$8,IF(A265="Tuần",'Quy dinh'!$B$7,0)),0))</f>
        <v/>
      </c>
    </row>
    <row r="266">
      <c r="A266" s="19" t="n"/>
      <c r="B266" s="19" t="n"/>
      <c r="C266" s="19" t="n"/>
      <c r="D266" s="19" t="n"/>
      <c r="E266" s="19" t="n"/>
      <c r="F266" s="19" t="n"/>
      <c r="G266" s="23">
        <f>IF(OR(E266="",F266=""),"",IF(E266=0,0,F266/E266))</f>
        <v/>
      </c>
      <c r="H266" s="19" t="n"/>
      <c r="I266" s="17">
        <f>IF(OR(E266="",H266=""),"",IF(E266&gt;=H266,"Đủ","Không đủ"))</f>
        <v/>
      </c>
      <c r="J266" s="19" t="n"/>
      <c r="K266" s="7">
        <f>IF(J266="","",IF(AND(LOWER(J266)="x",I266="Đủ"),IF(A266="Tháng",'Quy dinh'!$B$8,IF(A266="Tuần",'Quy dinh'!$B$7,0)),0))</f>
        <v/>
      </c>
    </row>
    <row r="267">
      <c r="A267" s="19" t="n"/>
      <c r="B267" s="19" t="n"/>
      <c r="C267" s="19" t="n"/>
      <c r="D267" s="19" t="n"/>
      <c r="E267" s="19" t="n"/>
      <c r="F267" s="19" t="n"/>
      <c r="G267" s="23">
        <f>IF(OR(E267="",F267=""),"",IF(E267=0,0,F267/E267))</f>
        <v/>
      </c>
      <c r="H267" s="19" t="n"/>
      <c r="I267" s="17">
        <f>IF(OR(E267="",H267=""),"",IF(E267&gt;=H267,"Đủ","Không đủ"))</f>
        <v/>
      </c>
      <c r="J267" s="19" t="n"/>
      <c r="K267" s="7">
        <f>IF(J267="","",IF(AND(LOWER(J267)="x",I267="Đủ"),IF(A267="Tháng",'Quy dinh'!$B$8,IF(A267="Tuần",'Quy dinh'!$B$7,0)),0))</f>
        <v/>
      </c>
    </row>
    <row r="268">
      <c r="A268" s="19" t="n"/>
      <c r="B268" s="19" t="n"/>
      <c r="C268" s="19" t="n"/>
      <c r="D268" s="19" t="n"/>
      <c r="E268" s="19" t="n"/>
      <c r="F268" s="19" t="n"/>
      <c r="G268" s="23">
        <f>IF(OR(E268="",F268=""),"",IF(E268=0,0,F268/E268))</f>
        <v/>
      </c>
      <c r="H268" s="19" t="n"/>
      <c r="I268" s="17">
        <f>IF(OR(E268="",H268=""),"",IF(E268&gt;=H268,"Đủ","Không đủ"))</f>
        <v/>
      </c>
      <c r="J268" s="19" t="n"/>
      <c r="K268" s="7">
        <f>IF(J268="","",IF(AND(LOWER(J268)="x",I268="Đủ"),IF(A268="Tháng",'Quy dinh'!$B$8,IF(A268="Tuần",'Quy dinh'!$B$7,0)),0))</f>
        <v/>
      </c>
    </row>
    <row r="269">
      <c r="A269" s="19" t="n"/>
      <c r="B269" s="19" t="n"/>
      <c r="C269" s="19" t="n"/>
      <c r="D269" s="19" t="n"/>
      <c r="E269" s="19" t="n"/>
      <c r="F269" s="19" t="n"/>
      <c r="G269" s="23">
        <f>IF(OR(E269="",F269=""),"",IF(E269=0,0,F269/E269))</f>
        <v/>
      </c>
      <c r="H269" s="19" t="n"/>
      <c r="I269" s="17">
        <f>IF(OR(E269="",H269=""),"",IF(E269&gt;=H269,"Đủ","Không đủ"))</f>
        <v/>
      </c>
      <c r="J269" s="19" t="n"/>
      <c r="K269" s="7">
        <f>IF(J269="","",IF(AND(LOWER(J269)="x",I269="Đủ"),IF(A269="Tháng",'Quy dinh'!$B$8,IF(A269="Tuần",'Quy dinh'!$B$7,0)),0))</f>
        <v/>
      </c>
    </row>
    <row r="270">
      <c r="A270" s="19" t="n"/>
      <c r="B270" s="19" t="n"/>
      <c r="C270" s="19" t="n"/>
      <c r="D270" s="19" t="n"/>
      <c r="E270" s="19" t="n"/>
      <c r="F270" s="19" t="n"/>
      <c r="G270" s="23">
        <f>IF(OR(E270="",F270=""),"",IF(E270=0,0,F270/E270))</f>
        <v/>
      </c>
      <c r="H270" s="19" t="n"/>
      <c r="I270" s="17">
        <f>IF(OR(E270="",H270=""),"",IF(E270&gt;=H270,"Đủ","Không đủ"))</f>
        <v/>
      </c>
      <c r="J270" s="19" t="n"/>
      <c r="K270" s="7">
        <f>IF(J270="","",IF(AND(LOWER(J270)="x",I270="Đủ"),IF(A270="Tháng",'Quy dinh'!$B$8,IF(A270="Tuần",'Quy dinh'!$B$7,0)),0))</f>
        <v/>
      </c>
    </row>
    <row r="271">
      <c r="A271" s="19" t="n"/>
      <c r="B271" s="19" t="n"/>
      <c r="C271" s="19" t="n"/>
      <c r="D271" s="19" t="n"/>
      <c r="E271" s="19" t="n"/>
      <c r="F271" s="19" t="n"/>
      <c r="G271" s="23">
        <f>IF(OR(E271="",F271=""),"",IF(E271=0,0,F271/E271))</f>
        <v/>
      </c>
      <c r="H271" s="19" t="n"/>
      <c r="I271" s="17">
        <f>IF(OR(E271="",H271=""),"",IF(E271&gt;=H271,"Đủ","Không đủ"))</f>
        <v/>
      </c>
      <c r="J271" s="19" t="n"/>
      <c r="K271" s="7">
        <f>IF(J271="","",IF(AND(LOWER(J271)="x",I271="Đủ"),IF(A271="Tháng",'Quy dinh'!$B$8,IF(A271="Tuần",'Quy dinh'!$B$7,0)),0))</f>
        <v/>
      </c>
    </row>
    <row r="272">
      <c r="A272" s="19" t="n"/>
      <c r="B272" s="19" t="n"/>
      <c r="C272" s="19" t="n"/>
      <c r="D272" s="19" t="n"/>
      <c r="E272" s="19" t="n"/>
      <c r="F272" s="19" t="n"/>
      <c r="G272" s="23">
        <f>IF(OR(E272="",F272=""),"",IF(E272=0,0,F272/E272))</f>
        <v/>
      </c>
      <c r="H272" s="19" t="n"/>
      <c r="I272" s="17">
        <f>IF(OR(E272="",H272=""),"",IF(E272&gt;=H272,"Đủ","Không đủ"))</f>
        <v/>
      </c>
      <c r="J272" s="19" t="n"/>
      <c r="K272" s="7">
        <f>IF(J272="","",IF(AND(LOWER(J272)="x",I272="Đủ"),IF(A272="Tháng",'Quy dinh'!$B$8,IF(A272="Tuần",'Quy dinh'!$B$7,0)),0))</f>
        <v/>
      </c>
    </row>
    <row r="273">
      <c r="A273" s="19" t="n"/>
      <c r="B273" s="19" t="n"/>
      <c r="C273" s="19" t="n"/>
      <c r="D273" s="19" t="n"/>
      <c r="E273" s="19" t="n"/>
      <c r="F273" s="19" t="n"/>
      <c r="G273" s="23">
        <f>IF(OR(E273="",F273=""),"",IF(E273=0,0,F273/E273))</f>
        <v/>
      </c>
      <c r="H273" s="19" t="n"/>
      <c r="I273" s="17">
        <f>IF(OR(E273="",H273=""),"",IF(E273&gt;=H273,"Đủ","Không đủ"))</f>
        <v/>
      </c>
      <c r="J273" s="19" t="n"/>
      <c r="K273" s="7">
        <f>IF(J273="","",IF(AND(LOWER(J273)="x",I273="Đủ"),IF(A273="Tháng",'Quy dinh'!$B$8,IF(A273="Tuần",'Quy dinh'!$B$7,0)),0))</f>
        <v/>
      </c>
    </row>
    <row r="274">
      <c r="A274" s="19" t="n"/>
      <c r="B274" s="19" t="n"/>
      <c r="C274" s="19" t="n"/>
      <c r="D274" s="19" t="n"/>
      <c r="E274" s="19" t="n"/>
      <c r="F274" s="19" t="n"/>
      <c r="G274" s="23">
        <f>IF(OR(E274="",F274=""),"",IF(E274=0,0,F274/E274))</f>
        <v/>
      </c>
      <c r="H274" s="19" t="n"/>
      <c r="I274" s="17">
        <f>IF(OR(E274="",H274=""),"",IF(E274&gt;=H274,"Đủ","Không đủ"))</f>
        <v/>
      </c>
      <c r="J274" s="19" t="n"/>
      <c r="K274" s="7">
        <f>IF(J274="","",IF(AND(LOWER(J274)="x",I274="Đủ"),IF(A274="Tháng",'Quy dinh'!$B$8,IF(A274="Tuần",'Quy dinh'!$B$7,0)),0))</f>
        <v/>
      </c>
    </row>
    <row r="275">
      <c r="A275" s="19" t="n"/>
      <c r="B275" s="19" t="n"/>
      <c r="C275" s="19" t="n"/>
      <c r="D275" s="19" t="n"/>
      <c r="E275" s="19" t="n"/>
      <c r="F275" s="19" t="n"/>
      <c r="G275" s="23">
        <f>IF(OR(E275="",F275=""),"",IF(E275=0,0,F275/E275))</f>
        <v/>
      </c>
      <c r="H275" s="19" t="n"/>
      <c r="I275" s="17">
        <f>IF(OR(E275="",H275=""),"",IF(E275&gt;=H275,"Đủ","Không đủ"))</f>
        <v/>
      </c>
      <c r="J275" s="19" t="n"/>
      <c r="K275" s="7">
        <f>IF(J275="","",IF(AND(LOWER(J275)="x",I275="Đủ"),IF(A275="Tháng",'Quy dinh'!$B$8,IF(A275="Tuần",'Quy dinh'!$B$7,0)),0))</f>
        <v/>
      </c>
    </row>
    <row r="276">
      <c r="A276" s="19" t="n"/>
      <c r="B276" s="19" t="n"/>
      <c r="C276" s="19" t="n"/>
      <c r="D276" s="19" t="n"/>
      <c r="E276" s="19" t="n"/>
      <c r="F276" s="19" t="n"/>
      <c r="G276" s="23">
        <f>IF(OR(E276="",F276=""),"",IF(E276=0,0,F276/E276))</f>
        <v/>
      </c>
      <c r="H276" s="19" t="n"/>
      <c r="I276" s="17">
        <f>IF(OR(E276="",H276=""),"",IF(E276&gt;=H276,"Đủ","Không đủ"))</f>
        <v/>
      </c>
      <c r="J276" s="19" t="n"/>
      <c r="K276" s="7">
        <f>IF(J276="","",IF(AND(LOWER(J276)="x",I276="Đủ"),IF(A276="Tháng",'Quy dinh'!$B$8,IF(A276="Tuần",'Quy dinh'!$B$7,0)),0))</f>
        <v/>
      </c>
    </row>
    <row r="277">
      <c r="A277" s="19" t="n"/>
      <c r="B277" s="19" t="n"/>
      <c r="C277" s="19" t="n"/>
      <c r="D277" s="19" t="n"/>
      <c r="E277" s="19" t="n"/>
      <c r="F277" s="19" t="n"/>
      <c r="G277" s="23">
        <f>IF(OR(E277="",F277=""),"",IF(E277=0,0,F277/E277))</f>
        <v/>
      </c>
      <c r="H277" s="19" t="n"/>
      <c r="I277" s="17">
        <f>IF(OR(E277="",H277=""),"",IF(E277&gt;=H277,"Đủ","Không đủ"))</f>
        <v/>
      </c>
      <c r="J277" s="19" t="n"/>
      <c r="K277" s="7">
        <f>IF(J277="","",IF(AND(LOWER(J277)="x",I277="Đủ"),IF(A277="Tháng",'Quy dinh'!$B$8,IF(A277="Tuần",'Quy dinh'!$B$7,0)),0))</f>
        <v/>
      </c>
    </row>
    <row r="278">
      <c r="A278" s="19" t="n"/>
      <c r="B278" s="19" t="n"/>
      <c r="C278" s="19" t="n"/>
      <c r="D278" s="19" t="n"/>
      <c r="E278" s="19" t="n"/>
      <c r="F278" s="19" t="n"/>
      <c r="G278" s="23">
        <f>IF(OR(E278="",F278=""),"",IF(E278=0,0,F278/E278))</f>
        <v/>
      </c>
      <c r="H278" s="19" t="n"/>
      <c r="I278" s="17">
        <f>IF(OR(E278="",H278=""),"",IF(E278&gt;=H278,"Đủ","Không đủ"))</f>
        <v/>
      </c>
      <c r="J278" s="19" t="n"/>
      <c r="K278" s="7">
        <f>IF(J278="","",IF(AND(LOWER(J278)="x",I278="Đủ"),IF(A278="Tháng",'Quy dinh'!$B$8,IF(A278="Tuần",'Quy dinh'!$B$7,0)),0))</f>
        <v/>
      </c>
    </row>
    <row r="279">
      <c r="A279" s="19" t="n"/>
      <c r="B279" s="19" t="n"/>
      <c r="C279" s="19" t="n"/>
      <c r="D279" s="19" t="n"/>
      <c r="E279" s="19" t="n"/>
      <c r="F279" s="19" t="n"/>
      <c r="G279" s="23">
        <f>IF(OR(E279="",F279=""),"",IF(E279=0,0,F279/E279))</f>
        <v/>
      </c>
      <c r="H279" s="19" t="n"/>
      <c r="I279" s="17">
        <f>IF(OR(E279="",H279=""),"",IF(E279&gt;=H279,"Đủ","Không đủ"))</f>
        <v/>
      </c>
      <c r="J279" s="19" t="n"/>
      <c r="K279" s="7">
        <f>IF(J279="","",IF(AND(LOWER(J279)="x",I279="Đủ"),IF(A279="Tháng",'Quy dinh'!$B$8,IF(A279="Tuần",'Quy dinh'!$B$7,0)),0))</f>
        <v/>
      </c>
    </row>
    <row r="280">
      <c r="A280" s="19" t="n"/>
      <c r="B280" s="19" t="n"/>
      <c r="C280" s="19" t="n"/>
      <c r="D280" s="19" t="n"/>
      <c r="E280" s="19" t="n"/>
      <c r="F280" s="19" t="n"/>
      <c r="G280" s="23">
        <f>IF(OR(E280="",F280=""),"",IF(E280=0,0,F280/E280))</f>
        <v/>
      </c>
      <c r="H280" s="19" t="n"/>
      <c r="I280" s="17">
        <f>IF(OR(E280="",H280=""),"",IF(E280&gt;=H280,"Đủ","Không đủ"))</f>
        <v/>
      </c>
      <c r="J280" s="19" t="n"/>
      <c r="K280" s="7">
        <f>IF(J280="","",IF(AND(LOWER(J280)="x",I280="Đủ"),IF(A280="Tháng",'Quy dinh'!$B$8,IF(A280="Tuần",'Quy dinh'!$B$7,0)),0))</f>
        <v/>
      </c>
    </row>
    <row r="281">
      <c r="A281" s="19" t="n"/>
      <c r="B281" s="19" t="n"/>
      <c r="C281" s="19" t="n"/>
      <c r="D281" s="19" t="n"/>
      <c r="E281" s="19" t="n"/>
      <c r="F281" s="19" t="n"/>
      <c r="G281" s="23">
        <f>IF(OR(E281="",F281=""),"",IF(E281=0,0,F281/E281))</f>
        <v/>
      </c>
      <c r="H281" s="19" t="n"/>
      <c r="I281" s="17">
        <f>IF(OR(E281="",H281=""),"",IF(E281&gt;=H281,"Đủ","Không đủ"))</f>
        <v/>
      </c>
      <c r="J281" s="19" t="n"/>
      <c r="K281" s="7">
        <f>IF(J281="","",IF(AND(LOWER(J281)="x",I281="Đủ"),IF(A281="Tháng",'Quy dinh'!$B$8,IF(A281="Tuần",'Quy dinh'!$B$7,0)),0))</f>
        <v/>
      </c>
    </row>
    <row r="282">
      <c r="A282" s="19" t="n"/>
      <c r="B282" s="19" t="n"/>
      <c r="C282" s="19" t="n"/>
      <c r="D282" s="19" t="n"/>
      <c r="E282" s="19" t="n"/>
      <c r="F282" s="19" t="n"/>
      <c r="G282" s="23">
        <f>IF(OR(E282="",F282=""),"",IF(E282=0,0,F282/E282))</f>
        <v/>
      </c>
      <c r="H282" s="19" t="n"/>
      <c r="I282" s="17">
        <f>IF(OR(E282="",H282=""),"",IF(E282&gt;=H282,"Đủ","Không đủ"))</f>
        <v/>
      </c>
      <c r="J282" s="19" t="n"/>
      <c r="K282" s="7">
        <f>IF(J282="","",IF(AND(LOWER(J282)="x",I282="Đủ"),IF(A282="Tháng",'Quy dinh'!$B$8,IF(A282="Tuần",'Quy dinh'!$B$7,0)),0))</f>
        <v/>
      </c>
    </row>
    <row r="283">
      <c r="A283" s="19" t="n"/>
      <c r="B283" s="19" t="n"/>
      <c r="C283" s="19" t="n"/>
      <c r="D283" s="19" t="n"/>
      <c r="E283" s="19" t="n"/>
      <c r="F283" s="19" t="n"/>
      <c r="G283" s="23">
        <f>IF(OR(E283="",F283=""),"",IF(E283=0,0,F283/E283))</f>
        <v/>
      </c>
      <c r="H283" s="19" t="n"/>
      <c r="I283" s="17">
        <f>IF(OR(E283="",H283=""),"",IF(E283&gt;=H283,"Đủ","Không đủ"))</f>
        <v/>
      </c>
      <c r="J283" s="19" t="n"/>
      <c r="K283" s="7">
        <f>IF(J283="","",IF(AND(LOWER(J283)="x",I283="Đủ"),IF(A283="Tháng",'Quy dinh'!$B$8,IF(A283="Tuần",'Quy dinh'!$B$7,0)),0))</f>
        <v/>
      </c>
    </row>
    <row r="284">
      <c r="A284" s="19" t="n"/>
      <c r="B284" s="19" t="n"/>
      <c r="C284" s="19" t="n"/>
      <c r="D284" s="19" t="n"/>
      <c r="E284" s="19" t="n"/>
      <c r="F284" s="19" t="n"/>
      <c r="G284" s="23">
        <f>IF(OR(E284="",F284=""),"",IF(E284=0,0,F284/E284))</f>
        <v/>
      </c>
      <c r="H284" s="19" t="n"/>
      <c r="I284" s="17">
        <f>IF(OR(E284="",H284=""),"",IF(E284&gt;=H284,"Đủ","Không đủ"))</f>
        <v/>
      </c>
      <c r="J284" s="19" t="n"/>
      <c r="K284" s="7">
        <f>IF(J284="","",IF(AND(LOWER(J284)="x",I284="Đủ"),IF(A284="Tháng",'Quy dinh'!$B$8,IF(A284="Tuần",'Quy dinh'!$B$7,0)),0))</f>
        <v/>
      </c>
    </row>
    <row r="285">
      <c r="A285" s="19" t="n"/>
      <c r="B285" s="19" t="n"/>
      <c r="C285" s="19" t="n"/>
      <c r="D285" s="19" t="n"/>
      <c r="E285" s="19" t="n"/>
      <c r="F285" s="19" t="n"/>
      <c r="G285" s="23">
        <f>IF(OR(E285="",F285=""),"",IF(E285=0,0,F285/E285))</f>
        <v/>
      </c>
      <c r="H285" s="19" t="n"/>
      <c r="I285" s="17">
        <f>IF(OR(E285="",H285=""),"",IF(E285&gt;=H285,"Đủ","Không đủ"))</f>
        <v/>
      </c>
      <c r="J285" s="19" t="n"/>
      <c r="K285" s="7">
        <f>IF(J285="","",IF(AND(LOWER(J285)="x",I285="Đủ"),IF(A285="Tháng",'Quy dinh'!$B$8,IF(A285="Tuần",'Quy dinh'!$B$7,0)),0))</f>
        <v/>
      </c>
    </row>
    <row r="286">
      <c r="A286" s="19" t="n"/>
      <c r="B286" s="19" t="n"/>
      <c r="C286" s="19" t="n"/>
      <c r="D286" s="19" t="n"/>
      <c r="E286" s="19" t="n"/>
      <c r="F286" s="19" t="n"/>
      <c r="G286" s="23">
        <f>IF(OR(E286="",F286=""),"",IF(E286=0,0,F286/E286))</f>
        <v/>
      </c>
      <c r="H286" s="19" t="n"/>
      <c r="I286" s="17">
        <f>IF(OR(E286="",H286=""),"",IF(E286&gt;=H286,"Đủ","Không đủ"))</f>
        <v/>
      </c>
      <c r="J286" s="19" t="n"/>
      <c r="K286" s="7">
        <f>IF(J286="","",IF(AND(LOWER(J286)="x",I286="Đủ"),IF(A286="Tháng",'Quy dinh'!$B$8,IF(A286="Tuần",'Quy dinh'!$B$7,0)),0))</f>
        <v/>
      </c>
    </row>
    <row r="287">
      <c r="A287" s="19" t="n"/>
      <c r="B287" s="19" t="n"/>
      <c r="C287" s="19" t="n"/>
      <c r="D287" s="19" t="n"/>
      <c r="E287" s="19" t="n"/>
      <c r="F287" s="19" t="n"/>
      <c r="G287" s="23">
        <f>IF(OR(E287="",F287=""),"",IF(E287=0,0,F287/E287))</f>
        <v/>
      </c>
      <c r="H287" s="19" t="n"/>
      <c r="I287" s="17">
        <f>IF(OR(E287="",H287=""),"",IF(E287&gt;=H287,"Đủ","Không đủ"))</f>
        <v/>
      </c>
      <c r="J287" s="19" t="n"/>
      <c r="K287" s="7">
        <f>IF(J287="","",IF(AND(LOWER(J287)="x",I287="Đủ"),IF(A287="Tháng",'Quy dinh'!$B$8,IF(A287="Tuần",'Quy dinh'!$B$7,0)),0))</f>
        <v/>
      </c>
    </row>
    <row r="288">
      <c r="A288" s="19" t="n"/>
      <c r="B288" s="19" t="n"/>
      <c r="C288" s="19" t="n"/>
      <c r="D288" s="19" t="n"/>
      <c r="E288" s="19" t="n"/>
      <c r="F288" s="19" t="n"/>
      <c r="G288" s="23">
        <f>IF(OR(E288="",F288=""),"",IF(E288=0,0,F288/E288))</f>
        <v/>
      </c>
      <c r="H288" s="19" t="n"/>
      <c r="I288" s="17">
        <f>IF(OR(E288="",H288=""),"",IF(E288&gt;=H288,"Đủ","Không đủ"))</f>
        <v/>
      </c>
      <c r="J288" s="19" t="n"/>
      <c r="K288" s="7">
        <f>IF(J288="","",IF(AND(LOWER(J288)="x",I288="Đủ"),IF(A288="Tháng",'Quy dinh'!$B$8,IF(A288="Tuần",'Quy dinh'!$B$7,0)),0))</f>
        <v/>
      </c>
    </row>
    <row r="289">
      <c r="A289" s="19" t="n"/>
      <c r="B289" s="19" t="n"/>
      <c r="C289" s="19" t="n"/>
      <c r="D289" s="19" t="n"/>
      <c r="E289" s="19" t="n"/>
      <c r="F289" s="19" t="n"/>
      <c r="G289" s="23">
        <f>IF(OR(E289="",F289=""),"",IF(E289=0,0,F289/E289))</f>
        <v/>
      </c>
      <c r="H289" s="19" t="n"/>
      <c r="I289" s="17">
        <f>IF(OR(E289="",H289=""),"",IF(E289&gt;=H289,"Đủ","Không đủ"))</f>
        <v/>
      </c>
      <c r="J289" s="19" t="n"/>
      <c r="K289" s="7">
        <f>IF(J289="","",IF(AND(LOWER(J289)="x",I289="Đủ"),IF(A289="Tháng",'Quy dinh'!$B$8,IF(A289="Tuần",'Quy dinh'!$B$7,0)),0))</f>
        <v/>
      </c>
    </row>
    <row r="290">
      <c r="A290" s="19" t="n"/>
      <c r="B290" s="19" t="n"/>
      <c r="C290" s="19" t="n"/>
      <c r="D290" s="19" t="n"/>
      <c r="E290" s="19" t="n"/>
      <c r="F290" s="19" t="n"/>
      <c r="G290" s="23">
        <f>IF(OR(E290="",F290=""),"",IF(E290=0,0,F290/E290))</f>
        <v/>
      </c>
      <c r="H290" s="19" t="n"/>
      <c r="I290" s="17">
        <f>IF(OR(E290="",H290=""),"",IF(E290&gt;=H290,"Đủ","Không đủ"))</f>
        <v/>
      </c>
      <c r="J290" s="19" t="n"/>
      <c r="K290" s="7">
        <f>IF(J290="","",IF(AND(LOWER(J290)="x",I290="Đủ"),IF(A290="Tháng",'Quy dinh'!$B$8,IF(A290="Tuần",'Quy dinh'!$B$7,0)),0))</f>
        <v/>
      </c>
    </row>
    <row r="291">
      <c r="A291" s="19" t="n"/>
      <c r="B291" s="19" t="n"/>
      <c r="C291" s="19" t="n"/>
      <c r="D291" s="19" t="n"/>
      <c r="E291" s="19" t="n"/>
      <c r="F291" s="19" t="n"/>
      <c r="G291" s="23">
        <f>IF(OR(E291="",F291=""),"",IF(E291=0,0,F291/E291))</f>
        <v/>
      </c>
      <c r="H291" s="19" t="n"/>
      <c r="I291" s="17">
        <f>IF(OR(E291="",H291=""),"",IF(E291&gt;=H291,"Đủ","Không đủ"))</f>
        <v/>
      </c>
      <c r="J291" s="19" t="n"/>
      <c r="K291" s="7">
        <f>IF(J291="","",IF(AND(LOWER(J291)="x",I291="Đủ"),IF(A291="Tháng",'Quy dinh'!$B$8,IF(A291="Tuần",'Quy dinh'!$B$7,0)),0))</f>
        <v/>
      </c>
    </row>
    <row r="292">
      <c r="A292" s="19" t="n"/>
      <c r="B292" s="19" t="n"/>
      <c r="C292" s="19" t="n"/>
      <c r="D292" s="19" t="n"/>
      <c r="E292" s="19" t="n"/>
      <c r="F292" s="19" t="n"/>
      <c r="G292" s="23">
        <f>IF(OR(E292="",F292=""),"",IF(E292=0,0,F292/E292))</f>
        <v/>
      </c>
      <c r="H292" s="19" t="n"/>
      <c r="I292" s="17">
        <f>IF(OR(E292="",H292=""),"",IF(E292&gt;=H292,"Đủ","Không đủ"))</f>
        <v/>
      </c>
      <c r="J292" s="19" t="n"/>
      <c r="K292" s="7">
        <f>IF(J292="","",IF(AND(LOWER(J292)="x",I292="Đủ"),IF(A292="Tháng",'Quy dinh'!$B$8,IF(A292="Tuần",'Quy dinh'!$B$7,0)),0))</f>
        <v/>
      </c>
    </row>
    <row r="293">
      <c r="A293" s="19" t="n"/>
      <c r="B293" s="19" t="n"/>
      <c r="C293" s="19" t="n"/>
      <c r="D293" s="19" t="n"/>
      <c r="E293" s="19" t="n"/>
      <c r="F293" s="19" t="n"/>
      <c r="G293" s="23">
        <f>IF(OR(E293="",F293=""),"",IF(E293=0,0,F293/E293))</f>
        <v/>
      </c>
      <c r="H293" s="19" t="n"/>
      <c r="I293" s="17">
        <f>IF(OR(E293="",H293=""),"",IF(E293&gt;=H293,"Đủ","Không đủ"))</f>
        <v/>
      </c>
      <c r="J293" s="19" t="n"/>
      <c r="K293" s="7">
        <f>IF(J293="","",IF(AND(LOWER(J293)="x",I293="Đủ"),IF(A293="Tháng",'Quy dinh'!$B$8,IF(A293="Tuần",'Quy dinh'!$B$7,0)),0))</f>
        <v/>
      </c>
    </row>
    <row r="294">
      <c r="A294" s="19" t="n"/>
      <c r="B294" s="19" t="n"/>
      <c r="C294" s="19" t="n"/>
      <c r="D294" s="19" t="n"/>
      <c r="E294" s="19" t="n"/>
      <c r="F294" s="19" t="n"/>
      <c r="G294" s="23">
        <f>IF(OR(E294="",F294=""),"",IF(E294=0,0,F294/E294))</f>
        <v/>
      </c>
      <c r="H294" s="19" t="n"/>
      <c r="I294" s="17">
        <f>IF(OR(E294="",H294=""),"",IF(E294&gt;=H294,"Đủ","Không đủ"))</f>
        <v/>
      </c>
      <c r="J294" s="19" t="n"/>
      <c r="K294" s="7">
        <f>IF(J294="","",IF(AND(LOWER(J294)="x",I294="Đủ"),IF(A294="Tháng",'Quy dinh'!$B$8,IF(A294="Tuần",'Quy dinh'!$B$7,0)),0))</f>
        <v/>
      </c>
    </row>
    <row r="295">
      <c r="A295" s="19" t="n"/>
      <c r="B295" s="19" t="n"/>
      <c r="C295" s="19" t="n"/>
      <c r="D295" s="19" t="n"/>
      <c r="E295" s="19" t="n"/>
      <c r="F295" s="19" t="n"/>
      <c r="G295" s="23">
        <f>IF(OR(E295="",F295=""),"",IF(E295=0,0,F295/E295))</f>
        <v/>
      </c>
      <c r="H295" s="19" t="n"/>
      <c r="I295" s="17">
        <f>IF(OR(E295="",H295=""),"",IF(E295&gt;=H295,"Đủ","Không đủ"))</f>
        <v/>
      </c>
      <c r="J295" s="19" t="n"/>
      <c r="K295" s="7">
        <f>IF(J295="","",IF(AND(LOWER(J295)="x",I295="Đủ"),IF(A295="Tháng",'Quy dinh'!$B$8,IF(A295="Tuần",'Quy dinh'!$B$7,0)),0))</f>
        <v/>
      </c>
    </row>
    <row r="296">
      <c r="A296" s="19" t="n"/>
      <c r="B296" s="19" t="n"/>
      <c r="C296" s="19" t="n"/>
      <c r="D296" s="19" t="n"/>
      <c r="E296" s="19" t="n"/>
      <c r="F296" s="19" t="n"/>
      <c r="G296" s="23">
        <f>IF(OR(E296="",F296=""),"",IF(E296=0,0,F296/E296))</f>
        <v/>
      </c>
      <c r="H296" s="19" t="n"/>
      <c r="I296" s="17">
        <f>IF(OR(E296="",H296=""),"",IF(E296&gt;=H296,"Đủ","Không đủ"))</f>
        <v/>
      </c>
      <c r="J296" s="19" t="n"/>
      <c r="K296" s="7">
        <f>IF(J296="","",IF(AND(LOWER(J296)="x",I296="Đủ"),IF(A296="Tháng",'Quy dinh'!$B$8,IF(A296="Tuần",'Quy dinh'!$B$7,0)),0))</f>
        <v/>
      </c>
    </row>
    <row r="297">
      <c r="A297" s="19" t="n"/>
      <c r="B297" s="19" t="n"/>
      <c r="C297" s="19" t="n"/>
      <c r="D297" s="19" t="n"/>
      <c r="E297" s="19" t="n"/>
      <c r="F297" s="19" t="n"/>
      <c r="G297" s="23">
        <f>IF(OR(E297="",F297=""),"",IF(E297=0,0,F297/E297))</f>
        <v/>
      </c>
      <c r="H297" s="19" t="n"/>
      <c r="I297" s="17">
        <f>IF(OR(E297="",H297=""),"",IF(E297&gt;=H297,"Đủ","Không đủ"))</f>
        <v/>
      </c>
      <c r="J297" s="19" t="n"/>
      <c r="K297" s="7">
        <f>IF(J297="","",IF(AND(LOWER(J297)="x",I297="Đủ"),IF(A297="Tháng",'Quy dinh'!$B$8,IF(A297="Tuần",'Quy dinh'!$B$7,0)),0))</f>
        <v/>
      </c>
    </row>
    <row r="298">
      <c r="A298" s="19" t="n"/>
      <c r="B298" s="19" t="n"/>
      <c r="C298" s="19" t="n"/>
      <c r="D298" s="19" t="n"/>
      <c r="E298" s="19" t="n"/>
      <c r="F298" s="19" t="n"/>
      <c r="G298" s="23">
        <f>IF(OR(E298="",F298=""),"",IF(E298=0,0,F298/E298))</f>
        <v/>
      </c>
      <c r="H298" s="19" t="n"/>
      <c r="I298" s="17">
        <f>IF(OR(E298="",H298=""),"",IF(E298&gt;=H298,"Đủ","Không đủ"))</f>
        <v/>
      </c>
      <c r="J298" s="19" t="n"/>
      <c r="K298" s="7">
        <f>IF(J298="","",IF(AND(LOWER(J298)="x",I298="Đủ"),IF(A298="Tháng",'Quy dinh'!$B$8,IF(A298="Tuần",'Quy dinh'!$B$7,0)),0))</f>
        <v/>
      </c>
    </row>
    <row r="299">
      <c r="A299" s="19" t="n"/>
      <c r="B299" s="19" t="n"/>
      <c r="C299" s="19" t="n"/>
      <c r="D299" s="19" t="n"/>
      <c r="E299" s="19" t="n"/>
      <c r="F299" s="19" t="n"/>
      <c r="G299" s="23">
        <f>IF(OR(E299="",F299=""),"",IF(E299=0,0,F299/E299))</f>
        <v/>
      </c>
      <c r="H299" s="19" t="n"/>
      <c r="I299" s="17">
        <f>IF(OR(E299="",H299=""),"",IF(E299&gt;=H299,"Đủ","Không đủ"))</f>
        <v/>
      </c>
      <c r="J299" s="19" t="n"/>
      <c r="K299" s="7">
        <f>IF(J299="","",IF(AND(LOWER(J299)="x",I299="Đủ"),IF(A299="Tháng",'Quy dinh'!$B$8,IF(A299="Tuần",'Quy dinh'!$B$7,0)),0))</f>
        <v/>
      </c>
    </row>
    <row r="300">
      <c r="A300" s="19" t="n"/>
      <c r="B300" s="19" t="n"/>
      <c r="C300" s="19" t="n"/>
      <c r="D300" s="19" t="n"/>
      <c r="E300" s="19" t="n"/>
      <c r="F300" s="19" t="n"/>
      <c r="G300" s="23">
        <f>IF(OR(E300="",F300=""),"",IF(E300=0,0,F300/E300))</f>
        <v/>
      </c>
      <c r="H300" s="19" t="n"/>
      <c r="I300" s="17">
        <f>IF(OR(E300="",H300=""),"",IF(E300&gt;=H300,"Đủ","Không đủ"))</f>
        <v/>
      </c>
      <c r="J300" s="19" t="n"/>
      <c r="K300" s="7">
        <f>IF(J300="","",IF(AND(LOWER(J300)="x",I300="Đủ"),IF(A300="Tháng",'Quy dinh'!$B$8,IF(A300="Tuần",'Quy dinh'!$B$7,0)),0))</f>
        <v/>
      </c>
    </row>
    <row r="301">
      <c r="A301" s="19" t="n"/>
      <c r="B301" s="19" t="n"/>
      <c r="C301" s="19" t="n"/>
      <c r="D301" s="19" t="n"/>
      <c r="E301" s="19" t="n"/>
      <c r="F301" s="19" t="n"/>
      <c r="G301" s="23">
        <f>IF(OR(E301="",F301=""),"",IF(E301=0,0,F301/E301))</f>
        <v/>
      </c>
      <c r="H301" s="19" t="n"/>
      <c r="I301" s="17">
        <f>IF(OR(E301="",H301=""),"",IF(E301&gt;=H301,"Đủ","Không đủ"))</f>
        <v/>
      </c>
      <c r="J301" s="19" t="n"/>
      <c r="K301" s="7">
        <f>IF(J301="","",IF(AND(LOWER(J301)="x",I301="Đủ"),IF(A301="Tháng",'Quy dinh'!$B$8,IF(A301="Tuần",'Quy dinh'!$B$7,0)),0))</f>
        <v/>
      </c>
    </row>
    <row r="302">
      <c r="A302" s="19" t="n"/>
      <c r="B302" s="19" t="n"/>
      <c r="C302" s="19" t="n"/>
      <c r="D302" s="19" t="n"/>
      <c r="E302" s="19" t="n"/>
      <c r="F302" s="19" t="n"/>
      <c r="G302" s="23">
        <f>IF(OR(E302="",F302=""),"",IF(E302=0,0,F302/E302))</f>
        <v/>
      </c>
      <c r="H302" s="19" t="n"/>
      <c r="I302" s="17">
        <f>IF(OR(E302="",H302=""),"",IF(E302&gt;=H302,"Đủ","Không đủ"))</f>
        <v/>
      </c>
      <c r="J302" s="19" t="n"/>
      <c r="K302" s="7">
        <f>IF(J302="","",IF(AND(LOWER(J302)="x",I302="Đủ"),IF(A302="Tháng",'Quy dinh'!$B$8,IF(A302="Tuần",'Quy dinh'!$B$7,0)),0))</f>
        <v/>
      </c>
    </row>
    <row r="303">
      <c r="A303" s="19" t="n"/>
      <c r="B303" s="19" t="n"/>
      <c r="C303" s="19" t="n"/>
      <c r="D303" s="19" t="n"/>
      <c r="E303" s="19" t="n"/>
      <c r="F303" s="19" t="n"/>
      <c r="G303" s="23">
        <f>IF(OR(E303="",F303=""),"",IF(E303=0,0,F303/E303))</f>
        <v/>
      </c>
      <c r="H303" s="19" t="n"/>
      <c r="I303" s="17">
        <f>IF(OR(E303="",H303=""),"",IF(E303&gt;=H303,"Đủ","Không đủ"))</f>
        <v/>
      </c>
      <c r="J303" s="19" t="n"/>
      <c r="K303" s="7">
        <f>IF(J303="","",IF(AND(LOWER(J303)="x",I303="Đủ"),IF(A303="Tháng",'Quy dinh'!$B$8,IF(A303="Tuần",'Quy dinh'!$B$7,0)),0))</f>
        <v/>
      </c>
    </row>
    <row r="304">
      <c r="A304" s="19" t="n"/>
      <c r="B304" s="19" t="n"/>
      <c r="C304" s="19" t="n"/>
      <c r="D304" s="19" t="n"/>
      <c r="E304" s="19" t="n"/>
      <c r="F304" s="19" t="n"/>
      <c r="G304" s="23">
        <f>IF(OR(E304="",F304=""),"",IF(E304=0,0,F304/E304))</f>
        <v/>
      </c>
      <c r="H304" s="19" t="n"/>
      <c r="I304" s="17">
        <f>IF(OR(E304="",H304=""),"",IF(E304&gt;=H304,"Đủ","Không đủ"))</f>
        <v/>
      </c>
      <c r="J304" s="19" t="n"/>
      <c r="K304" s="7">
        <f>IF(J304="","",IF(AND(LOWER(J304)="x",I304="Đủ"),IF(A304="Tháng",'Quy dinh'!$B$8,IF(A304="Tuần",'Quy dinh'!$B$7,0)),0))</f>
        <v/>
      </c>
    </row>
  </sheetData>
  <dataValidations count="2">
    <dataValidation sqref="A5:A304" showDropDown="0" showInputMessage="0" showErrorMessage="0" allowBlank="1" type="list">
      <formula1>"Tuần,Tháng"</formula1>
    </dataValidation>
    <dataValidation sqref="D5:D304" showDropDown="0" showInputMessage="0" showErrorMessage="0" allowBlank="1" type="list">
      <formula1>='Danh sach sale'!$A$5:$A$44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2026-10-31T02:52:04Z</dcterms:created>
  <dcterms:modified xmlns:dcterms="http://purl.org/dc/terms/" xmlns:xsi="http://www.w3.org/2001/XMLSchema-instance" xsi:type="dcterms:W3CDTF">2026-10-31T02:52:04Z</dcterms:modified>
</cp:coreProperties>
</file>